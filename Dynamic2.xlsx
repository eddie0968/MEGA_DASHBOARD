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enctc-my.sharepoint.com/personal/pao0918_ntpc_edu_tw/Documents/Analysis/DASHBOARD/"/>
    </mc:Choice>
  </mc:AlternateContent>
  <xr:revisionPtr revIDLastSave="201" documentId="8_{7176EC51-8657-4EB6-9FF7-077E03CB3441}" xr6:coauthVersionLast="47" xr6:coauthVersionMax="47" xr10:uidLastSave="{E2FE82F7-0D54-4FAF-8189-FDDEB176DDA3}"/>
  <bookViews>
    <workbookView xWindow="-120" yWindow="-120" windowWidth="29040" windowHeight="15720" tabRatio="890" activeTab="8" xr2:uid="{00000000-000D-0000-FFFF-FFFF00000000}"/>
  </bookViews>
  <sheets>
    <sheet name="金控_ROE" sheetId="1" r:id="rId1"/>
    <sheet name="銀行_ROE" sheetId="15" r:id="rId2"/>
    <sheet name="銀行_存款餘額" sheetId="7" r:id="rId3"/>
    <sheet name="銀行_外匯存款餘額" sheetId="8" r:id="rId4"/>
    <sheet name="銀行_公民營事業放款" sheetId="4" r:id="rId5"/>
    <sheet name="銀行_中小企業放款" sheetId="6" r:id="rId6"/>
    <sheet name="銀行_消金貸款" sheetId="10" r:id="rId7"/>
    <sheet name="銀行_信託商品" sheetId="3" r:id="rId8"/>
    <sheet name="銀行_衍生性" sheetId="12" r:id="rId9"/>
    <sheet name="證券_臺股經紀" sheetId="13" r:id="rId10"/>
    <sheet name="證券_複委託" sheetId="14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5" l="1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2" i="15"/>
  <c r="G3" i="1"/>
  <c r="G4" i="1"/>
  <c r="G5" i="1"/>
  <c r="G6" i="1"/>
  <c r="G7" i="1"/>
  <c r="G8" i="1"/>
  <c r="G9" i="1"/>
  <c r="G10" i="1"/>
  <c r="G11" i="1"/>
  <c r="G12" i="1"/>
  <c r="G13" i="1"/>
  <c r="G14" i="1"/>
  <c r="G15" i="1"/>
  <c r="G2" i="1"/>
  <c r="M16" i="14"/>
  <c r="L16" i="14"/>
  <c r="K16" i="14"/>
  <c r="J16" i="14"/>
  <c r="I16" i="14"/>
  <c r="H16" i="14"/>
  <c r="G16" i="14"/>
  <c r="F16" i="14"/>
  <c r="E16" i="14"/>
  <c r="D16" i="14"/>
  <c r="C16" i="14"/>
  <c r="B16" i="14"/>
  <c r="M17" i="13"/>
  <c r="L17" i="13"/>
  <c r="K17" i="13"/>
  <c r="J17" i="13"/>
  <c r="I17" i="13"/>
  <c r="H17" i="13"/>
  <c r="G17" i="13"/>
  <c r="F17" i="13"/>
  <c r="E17" i="13"/>
  <c r="D17" i="13"/>
  <c r="C17" i="13"/>
  <c r="B17" i="13"/>
  <c r="L16" i="3"/>
  <c r="H16" i="12"/>
  <c r="G16" i="12"/>
  <c r="F16" i="12"/>
  <c r="F16" i="10"/>
  <c r="G16" i="10"/>
  <c r="H16" i="10" l="1"/>
  <c r="H16" i="8"/>
  <c r="G16" i="8"/>
  <c r="H16" i="7"/>
  <c r="G16" i="7"/>
  <c r="H16" i="6"/>
  <c r="G16" i="6"/>
  <c r="H16" i="4" l="1"/>
  <c r="G16" i="4"/>
  <c r="K16" i="3" l="1"/>
</calcChain>
</file>

<file path=xl/sharedStrings.xml><?xml version="1.0" encoding="utf-8"?>
<sst xmlns="http://schemas.openxmlformats.org/spreadsheetml/2006/main" count="258" uniqueCount="58">
  <si>
    <t>名稱</t>
  </si>
  <si>
    <t>臺灣金控</t>
  </si>
  <si>
    <t>兆豐金控</t>
  </si>
  <si>
    <t>國泰金控</t>
  </si>
  <si>
    <t>中信金控</t>
  </si>
  <si>
    <t>台新金控</t>
  </si>
  <si>
    <t>富邦金控</t>
  </si>
  <si>
    <t>第一金控</t>
  </si>
  <si>
    <t>華南金控</t>
  </si>
  <si>
    <t>新光金控</t>
  </si>
  <si>
    <t>玉山金控</t>
  </si>
  <si>
    <t>永豐金控</t>
  </si>
  <si>
    <t>元大金控</t>
  </si>
  <si>
    <t>凱基金控</t>
  </si>
  <si>
    <t>合庫金控</t>
  </si>
  <si>
    <r>
      <t>2025/6</t>
    </r>
    <r>
      <rPr>
        <sz val="11"/>
        <color theme="1"/>
        <rFont val="Microsoft JhengHei"/>
        <family val="3"/>
      </rPr>
      <t>金額</t>
    </r>
    <phoneticPr fontId="2" type="noConversion"/>
  </si>
  <si>
    <r>
      <t>2025/6</t>
    </r>
    <r>
      <rPr>
        <sz val="11"/>
        <color theme="1"/>
        <rFont val="Microsoft JhengHei"/>
        <family val="3"/>
      </rPr>
      <t>市占率</t>
    </r>
    <phoneticPr fontId="2" type="noConversion"/>
  </si>
  <si>
    <r>
      <t>2024/12</t>
    </r>
    <r>
      <rPr>
        <sz val="11"/>
        <color theme="1"/>
        <rFont val="Microsoft JhengHei"/>
        <family val="3"/>
      </rPr>
      <t>金額</t>
    </r>
    <phoneticPr fontId="2" type="noConversion"/>
  </si>
  <si>
    <r>
      <t>2024/12</t>
    </r>
    <r>
      <rPr>
        <sz val="11"/>
        <color theme="1"/>
        <rFont val="Microsoft JhengHei"/>
        <family val="3"/>
      </rPr>
      <t>市占率</t>
    </r>
    <phoneticPr fontId="2" type="noConversion"/>
  </si>
  <si>
    <r>
      <t>2023/12</t>
    </r>
    <r>
      <rPr>
        <sz val="11"/>
        <color theme="1"/>
        <rFont val="Microsoft JhengHei"/>
        <family val="3"/>
      </rPr>
      <t>金額</t>
    </r>
    <phoneticPr fontId="2" type="noConversion"/>
  </si>
  <si>
    <r>
      <t>2023/12</t>
    </r>
    <r>
      <rPr>
        <sz val="11"/>
        <color theme="1"/>
        <rFont val="Microsoft JhengHei"/>
        <family val="3"/>
      </rPr>
      <t>市占率</t>
    </r>
    <phoneticPr fontId="2" type="noConversion"/>
  </si>
  <si>
    <r>
      <t>2022/12</t>
    </r>
    <r>
      <rPr>
        <sz val="11"/>
        <color theme="1"/>
        <rFont val="Microsoft JhengHei"/>
        <family val="3"/>
      </rPr>
      <t>市占率</t>
    </r>
    <phoneticPr fontId="2" type="noConversion"/>
  </si>
  <si>
    <r>
      <t>2022/12</t>
    </r>
    <r>
      <rPr>
        <sz val="11"/>
        <color theme="1"/>
        <rFont val="Microsoft JhengHei"/>
        <family val="3"/>
      </rPr>
      <t>金額</t>
    </r>
    <phoneticPr fontId="2" type="noConversion"/>
  </si>
  <si>
    <r>
      <t>2021/12</t>
    </r>
    <r>
      <rPr>
        <sz val="11"/>
        <color theme="1"/>
        <rFont val="Microsoft JhengHei"/>
        <family val="3"/>
      </rPr>
      <t>市占率</t>
    </r>
    <phoneticPr fontId="2" type="noConversion"/>
  </si>
  <si>
    <r>
      <t>2021/12</t>
    </r>
    <r>
      <rPr>
        <sz val="11"/>
        <color theme="1"/>
        <rFont val="Microsoft JhengHei"/>
        <family val="3"/>
      </rPr>
      <t>金額</t>
    </r>
    <phoneticPr fontId="2" type="noConversion"/>
  </si>
  <si>
    <r>
      <t>202</t>
    </r>
    <r>
      <rPr>
        <sz val="11"/>
        <color theme="1"/>
        <rFont val="細明體"/>
        <family val="3"/>
        <charset val="136"/>
      </rPr>
      <t>0</t>
    </r>
    <r>
      <rPr>
        <sz val="11"/>
        <color theme="1"/>
        <rFont val="MS Gothic"/>
        <family val="3"/>
        <charset val="128"/>
      </rPr>
      <t>/12</t>
    </r>
    <r>
      <rPr>
        <sz val="11"/>
        <color theme="1"/>
        <rFont val="MS Gothic"/>
        <family val="3"/>
        <charset val="136"/>
      </rPr>
      <t>市占率</t>
    </r>
    <phoneticPr fontId="2" type="noConversion"/>
  </si>
  <si>
    <r>
      <t>新光金控(</t>
    </r>
    <r>
      <rPr>
        <sz val="11"/>
        <color rgb="FF000000"/>
        <rFont val="新細明體"/>
        <family val="3"/>
        <charset val="136"/>
      </rPr>
      <t>元富</t>
    </r>
    <r>
      <rPr>
        <sz val="11"/>
        <color rgb="FF000000"/>
        <rFont val="MS Gothic"/>
        <family val="3"/>
      </rPr>
      <t>)</t>
    </r>
    <phoneticPr fontId="2" type="noConversion"/>
  </si>
  <si>
    <t>國票金控</t>
    <phoneticPr fontId="2" type="noConversion"/>
  </si>
  <si>
    <t>日盛金控</t>
    <phoneticPr fontId="2" type="noConversion"/>
  </si>
  <si>
    <r>
      <t>202</t>
    </r>
    <r>
      <rPr>
        <sz val="11"/>
        <color theme="1"/>
        <rFont val="細明體"/>
        <family val="3"/>
        <charset val="136"/>
      </rPr>
      <t>0全年成交金額</t>
    </r>
    <phoneticPr fontId="2" type="noConversion"/>
  </si>
  <si>
    <r>
      <t>2021</t>
    </r>
    <r>
      <rPr>
        <sz val="11"/>
        <color theme="1"/>
        <rFont val="細明體"/>
        <family val="3"/>
        <charset val="136"/>
      </rPr>
      <t>全年成交金額</t>
    </r>
    <r>
      <rPr>
        <sz val="11"/>
        <color theme="1"/>
        <rFont val="MS Gothic"/>
        <family val="3"/>
        <charset val="128"/>
      </rPr>
      <t>(</t>
    </r>
    <r>
      <rPr>
        <sz val="11"/>
        <color theme="1"/>
        <rFont val="細明體"/>
        <family val="3"/>
        <charset val="136"/>
      </rPr>
      <t>元)</t>
    </r>
    <phoneticPr fontId="2" type="noConversion"/>
  </si>
  <si>
    <r>
      <t>2022</t>
    </r>
    <r>
      <rPr>
        <sz val="11"/>
        <color theme="1"/>
        <rFont val="細明體"/>
        <family val="3"/>
        <charset val="136"/>
      </rPr>
      <t>全年成交金額</t>
    </r>
    <r>
      <rPr>
        <sz val="11"/>
        <color theme="1"/>
        <rFont val="MS Gothic"/>
        <family val="3"/>
        <charset val="128"/>
      </rPr>
      <t>(</t>
    </r>
    <r>
      <rPr>
        <sz val="11"/>
        <color theme="1"/>
        <rFont val="細明體"/>
        <family val="3"/>
        <charset val="136"/>
      </rPr>
      <t>元)</t>
    </r>
    <phoneticPr fontId="2" type="noConversion"/>
  </si>
  <si>
    <r>
      <t>2023</t>
    </r>
    <r>
      <rPr>
        <sz val="11"/>
        <color theme="1"/>
        <rFont val="細明體"/>
        <family val="3"/>
        <charset val="136"/>
      </rPr>
      <t>全年成交金額</t>
    </r>
    <r>
      <rPr>
        <sz val="11"/>
        <color theme="1"/>
        <rFont val="MS Gothic"/>
        <family val="3"/>
        <charset val="128"/>
      </rPr>
      <t>(</t>
    </r>
    <r>
      <rPr>
        <sz val="11"/>
        <color theme="1"/>
        <rFont val="細明體"/>
        <family val="3"/>
        <charset val="136"/>
      </rPr>
      <t>元)</t>
    </r>
    <phoneticPr fontId="2" type="noConversion"/>
  </si>
  <si>
    <r>
      <t>2024</t>
    </r>
    <r>
      <rPr>
        <sz val="11"/>
        <color theme="1"/>
        <rFont val="細明體"/>
        <family val="3"/>
        <charset val="136"/>
      </rPr>
      <t>全年成交金額</t>
    </r>
    <r>
      <rPr>
        <sz val="11"/>
        <color theme="1"/>
        <rFont val="MS Gothic"/>
        <family val="3"/>
        <charset val="128"/>
      </rPr>
      <t>(</t>
    </r>
    <r>
      <rPr>
        <sz val="11"/>
        <color theme="1"/>
        <rFont val="細明體"/>
        <family val="3"/>
        <charset val="136"/>
      </rPr>
      <t>元)</t>
    </r>
    <phoneticPr fontId="2" type="noConversion"/>
  </si>
  <si>
    <r>
      <t>2025</t>
    </r>
    <r>
      <rPr>
        <sz val="11"/>
        <color theme="1"/>
        <rFont val="細明體"/>
        <family val="3"/>
        <charset val="136"/>
      </rPr>
      <t>/1-6月成交金額</t>
    </r>
    <r>
      <rPr>
        <sz val="11"/>
        <color theme="1"/>
        <rFont val="MS Gothic"/>
        <family val="3"/>
        <charset val="128"/>
      </rPr>
      <t>(</t>
    </r>
    <r>
      <rPr>
        <sz val="11"/>
        <color theme="1"/>
        <rFont val="細明體"/>
        <family val="3"/>
        <charset val="136"/>
      </rPr>
      <t>元)</t>
    </r>
    <phoneticPr fontId="2" type="noConversion"/>
  </si>
  <si>
    <t>-</t>
    <phoneticPr fontId="2" type="noConversion"/>
  </si>
  <si>
    <t>凱基銀行</t>
  </si>
  <si>
    <t>新光銀行</t>
  </si>
  <si>
    <t>兆豐銀行</t>
  </si>
  <si>
    <t>永豐銀行</t>
  </si>
  <si>
    <t>日盛銀行</t>
  </si>
  <si>
    <t>新光金控</t>
    <phoneticPr fontId="2" type="noConversion"/>
  </si>
  <si>
    <t>台新新光金控</t>
  </si>
  <si>
    <t>國票金控</t>
  </si>
  <si>
    <t>臺灣金控</t>
    <phoneticPr fontId="2" type="noConversion"/>
  </si>
  <si>
    <t>台新新光金控控</t>
  </si>
  <si>
    <t>臺灣銀行</t>
    <phoneticPr fontId="2" type="noConversion"/>
  </si>
  <si>
    <t>合庫銀行</t>
    <phoneticPr fontId="2" type="noConversion"/>
  </si>
  <si>
    <r>
      <t>彰</t>
    </r>
    <r>
      <rPr>
        <sz val="11"/>
        <color rgb="FF000000"/>
        <rFont val="Microsoft JhengHei"/>
        <family val="3"/>
      </rPr>
      <t>化銀行</t>
    </r>
    <phoneticPr fontId="2" type="noConversion"/>
  </si>
  <si>
    <t>元大銀行</t>
    <phoneticPr fontId="2" type="noConversion"/>
  </si>
  <si>
    <r>
      <rPr>
        <sz val="11"/>
        <color rgb="FF000000"/>
        <rFont val="Microsoft JhengHei"/>
        <family val="3"/>
      </rPr>
      <t>第</t>
    </r>
    <r>
      <rPr>
        <sz val="11"/>
        <color rgb="FF000000"/>
        <rFont val="MS Gothic"/>
        <family val="3"/>
        <charset val="128"/>
      </rPr>
      <t>一銀行</t>
    </r>
    <phoneticPr fontId="2" type="noConversion"/>
  </si>
  <si>
    <r>
      <t>華</t>
    </r>
    <r>
      <rPr>
        <sz val="11"/>
        <color rgb="FF000000"/>
        <rFont val="Microsoft JhengHei"/>
        <family val="3"/>
      </rPr>
      <t>南銀行</t>
    </r>
    <phoneticPr fontId="2" type="noConversion"/>
  </si>
  <si>
    <t>台新銀行</t>
    <phoneticPr fontId="2" type="noConversion"/>
  </si>
  <si>
    <t>台北富邦銀行</t>
    <phoneticPr fontId="2" type="noConversion"/>
  </si>
  <si>
    <t>玉山銀行</t>
    <phoneticPr fontId="2" type="noConversion"/>
  </si>
  <si>
    <t>中信銀行</t>
    <phoneticPr fontId="2" type="noConversion"/>
  </si>
  <si>
    <t>國泰世華銀行</t>
    <phoneticPr fontId="2" type="noConversion"/>
  </si>
  <si>
    <r>
      <t>2025</t>
    </r>
    <r>
      <rPr>
        <sz val="11"/>
        <color theme="1"/>
        <rFont val="細明體"/>
        <family val="3"/>
        <charset val="136"/>
      </rPr>
      <t>*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</si>
</sst>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$&quot;* #,##0_-;\-&quot;$&quot;* #,##0_-;_-&quot;$&quot;* &quot;-&quot;_-;_-@_-"/>
    <numFmt numFmtId="41" formatCode="_-* #,##0_-;\-* #,##0_-;_-* &quot;-&quot;_-;_-@_-"/>
    <numFmt numFmtId="43" formatCode="_-* #,##0.00_-;\-* #,##0.00_-;_-* &quot;-&quot;??_-;_-@_-"/>
    <numFmt numFmtId="176" formatCode="#,##0.######;\-#,##0.######"/>
    <numFmt numFmtId="177" formatCode="_-* #,##0_-;\-* #,##0_-;_-* &quot;-&quot;??_-;_-@_-"/>
    <numFmt numFmtId="178" formatCode="0.000_ "/>
    <numFmt numFmtId="179" formatCode="0.000000_ "/>
    <numFmt numFmtId="180" formatCode="###,###,###,##0.00"/>
    <numFmt numFmtId="181" formatCode="0.00_)"/>
    <numFmt numFmtId="182" formatCode="##0.00"/>
    <numFmt numFmtId="183" formatCode="0_);[Red]\(0\)"/>
    <numFmt numFmtId="184" formatCode="[$-409]d\-mmm;@"/>
  </numFmts>
  <fonts count="44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1"/>
      <color rgb="FF000000"/>
      <name val="MS Gothic"/>
      <family val="3"/>
      <charset val="128"/>
    </font>
    <font>
      <sz val="11"/>
      <color theme="1"/>
      <name val="MS Gothic"/>
      <family val="3"/>
      <charset val="128"/>
    </font>
    <font>
      <sz val="11"/>
      <color theme="1"/>
      <name val="新細明體"/>
      <family val="2"/>
      <scheme val="minor"/>
    </font>
    <font>
      <sz val="11"/>
      <color theme="1"/>
      <name val="Microsoft JhengHei"/>
      <family val="3"/>
    </font>
    <font>
      <sz val="11"/>
      <color rgb="FF000000"/>
      <name val="Microsoft JhengHei"/>
      <family val="3"/>
    </font>
    <font>
      <sz val="11"/>
      <color theme="1"/>
      <name val="細明體"/>
      <family val="3"/>
      <charset val="136"/>
    </font>
    <font>
      <sz val="11"/>
      <color theme="1"/>
      <name val="MS Gothic"/>
      <family val="3"/>
      <charset val="136"/>
    </font>
    <font>
      <sz val="12"/>
      <name val="標楷體"/>
      <family val="4"/>
      <charset val="136"/>
    </font>
    <font>
      <sz val="12"/>
      <name val="新細明體"/>
      <family val="1"/>
      <charset val="136"/>
    </font>
    <font>
      <sz val="12"/>
      <name val="Arial"/>
      <family val="2"/>
    </font>
    <font>
      <sz val="12"/>
      <name val="Times New Roman"/>
      <family val="1"/>
    </font>
    <font>
      <sz val="14"/>
      <name val="標楷體"/>
      <family val="4"/>
      <charset val="136"/>
    </font>
    <font>
      <sz val="10"/>
      <name val="Arial"/>
      <family val="2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8"/>
      <name val="Arial"/>
      <family val="2"/>
    </font>
    <font>
      <sz val="7"/>
      <name val="Small Fonts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12"/>
      <name val="*ZenKai-Medium*-Mapping"/>
      <family val="1"/>
    </font>
    <font>
      <u/>
      <sz val="12"/>
      <color indexed="36"/>
      <name val="Courier"/>
      <family val="3"/>
    </font>
    <font>
      <sz val="12"/>
      <color theme="1"/>
      <name val="新細明體"/>
      <family val="1"/>
      <charset val="136"/>
      <scheme val="minor"/>
    </font>
    <font>
      <sz val="11"/>
      <color rgb="FF000000"/>
      <name val="新細明體"/>
      <family val="3"/>
      <charset val="136"/>
    </font>
    <font>
      <sz val="11"/>
      <color rgb="FF000000"/>
      <name val="MS Gothic"/>
      <family val="3"/>
    </font>
    <font>
      <sz val="11"/>
      <color rgb="FF000000"/>
      <name val="標楷體"/>
      <family val="3"/>
      <charset val="136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86">
    <xf numFmtId="0" fontId="0" fillId="0" borderId="0"/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38" fontId="33" fillId="16" borderId="0" applyNumberFormat="0" applyBorder="0" applyAlignment="0" applyProtection="0"/>
    <xf numFmtId="10" fontId="33" fillId="17" borderId="1" applyNumberFormat="0" applyBorder="0" applyAlignment="0" applyProtection="0"/>
    <xf numFmtId="37" fontId="34" fillId="0" borderId="0"/>
    <xf numFmtId="181" fontId="35" fillId="0" borderId="0"/>
    <xf numFmtId="0" fontId="36" fillId="0" borderId="0"/>
    <xf numFmtId="10" fontId="15" fillId="0" borderId="0" applyFont="0" applyFill="0" applyBorder="0" applyAlignment="0" applyProtection="0"/>
    <xf numFmtId="0" fontId="11" fillId="0" borderId="0"/>
    <xf numFmtId="0" fontId="40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4" fillId="0" borderId="0"/>
    <xf numFmtId="0" fontId="1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4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/>
    <xf numFmtId="178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/>
    <xf numFmtId="178" fontId="11" fillId="0" borderId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top"/>
    </xf>
    <xf numFmtId="179" fontId="1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38" fillId="0" borderId="0" applyFill="0" applyBorder="0" applyAlignment="0" applyProtection="0">
      <alignment horizontal="centerContinuous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0" fontId="21" fillId="19" borderId="3" applyNumberFormat="0" applyAlignment="0" applyProtection="0">
      <alignment vertical="center"/>
    </xf>
    <xf numFmtId="0" fontId="21" fillId="19" borderId="3" applyNumberFormat="0" applyAlignment="0" applyProtection="0">
      <alignment vertical="center"/>
    </xf>
    <xf numFmtId="42" fontId="13" fillId="0" borderId="0" applyFont="0" applyFill="0" applyBorder="0" applyAlignment="0" applyProtection="0"/>
    <xf numFmtId="0" fontId="22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11" fillId="20" borderId="5" applyNumberFormat="0" applyFont="0" applyAlignment="0" applyProtection="0">
      <alignment vertical="center"/>
    </xf>
    <xf numFmtId="0" fontId="14" fillId="20" borderId="5" applyNumberFormat="0" applyFont="0" applyAlignment="0" applyProtection="0">
      <alignment vertical="center"/>
    </xf>
    <xf numFmtId="0" fontId="14" fillId="20" borderId="5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28" fillId="7" borderId="3" applyNumberFormat="0" applyAlignment="0" applyProtection="0">
      <alignment vertical="center"/>
    </xf>
    <xf numFmtId="0" fontId="28" fillId="7" borderId="3" applyNumberFormat="0" applyAlignment="0" applyProtection="0">
      <alignment vertical="center"/>
    </xf>
    <xf numFmtId="0" fontId="29" fillId="19" borderId="9" applyNumberFormat="0" applyAlignment="0" applyProtection="0">
      <alignment vertical="center"/>
    </xf>
    <xf numFmtId="0" fontId="29" fillId="19" borderId="9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30" fillId="25" borderId="10" applyNumberFormat="0" applyAlignment="0" applyProtection="0">
      <alignment vertical="center"/>
    </xf>
    <xf numFmtId="0" fontId="30" fillId="25" borderId="10" applyNumberForma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9" fillId="19" borderId="21" applyNumberFormat="0" applyAlignment="0" applyProtection="0">
      <alignment vertical="center"/>
    </xf>
    <xf numFmtId="0" fontId="29" fillId="19" borderId="21" applyNumberFormat="0" applyAlignment="0" applyProtection="0">
      <alignment vertical="center"/>
    </xf>
    <xf numFmtId="0" fontId="28" fillId="7" borderId="19" applyNumberFormat="0" applyAlignment="0" applyProtection="0">
      <alignment vertical="center"/>
    </xf>
    <xf numFmtId="0" fontId="28" fillId="7" borderId="19" applyNumberFormat="0" applyAlignment="0" applyProtection="0">
      <alignment vertical="center"/>
    </xf>
    <xf numFmtId="0" fontId="14" fillId="20" borderId="20" applyNumberFormat="0" applyFont="0" applyAlignment="0" applyProtection="0">
      <alignment vertical="center"/>
    </xf>
    <xf numFmtId="0" fontId="14" fillId="20" borderId="20" applyNumberFormat="0" applyFont="0" applyAlignment="0" applyProtection="0">
      <alignment vertical="center"/>
    </xf>
    <xf numFmtId="0" fontId="11" fillId="20" borderId="20" applyNumberFormat="0" applyFont="0" applyAlignment="0" applyProtection="0">
      <alignment vertical="center"/>
    </xf>
    <xf numFmtId="10" fontId="33" fillId="17" borderId="14" applyNumberFormat="0" applyBorder="0" applyAlignment="0" applyProtection="0"/>
    <xf numFmtId="0" fontId="21" fillId="19" borderId="19" applyNumberFormat="0" applyAlignment="0" applyProtection="0">
      <alignment vertical="center"/>
    </xf>
    <xf numFmtId="0" fontId="21" fillId="19" borderId="19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10" fontId="33" fillId="17" borderId="13" applyNumberFormat="0" applyBorder="0" applyAlignment="0" applyProtection="0"/>
  </cellStyleXfs>
  <cellXfs count="32">
    <xf numFmtId="0" fontId="0" fillId="0" borderId="0" xfId="0"/>
    <xf numFmtId="4" fontId="0" fillId="0" borderId="0" xfId="0" applyNumberFormat="1"/>
    <xf numFmtId="0" fontId="3" fillId="0" borderId="0" xfId="0" applyFont="1" applyAlignment="1">
      <alignment vertical="top" wrapText="1"/>
    </xf>
    <xf numFmtId="17" fontId="4" fillId="0" borderId="0" xfId="0" applyNumberFormat="1" applyFont="1"/>
    <xf numFmtId="0" fontId="4" fillId="0" borderId="0" xfId="0" applyFont="1"/>
    <xf numFmtId="176" fontId="3" fillId="0" borderId="0" xfId="0" applyNumberFormat="1" applyFont="1" applyAlignment="1">
      <alignment horizontal="right" vertical="top" wrapText="1"/>
    </xf>
    <xf numFmtId="177" fontId="3" fillId="0" borderId="0" xfId="1" applyNumberFormat="1" applyFont="1" applyAlignment="1">
      <alignment horizontal="right" vertical="top" wrapText="1"/>
    </xf>
    <xf numFmtId="43" fontId="3" fillId="0" borderId="0" xfId="1" applyFont="1" applyAlignment="1">
      <alignment horizontal="right" vertical="top" wrapText="1"/>
    </xf>
    <xf numFmtId="43" fontId="4" fillId="0" borderId="0" xfId="1" applyFont="1" applyAlignment="1"/>
    <xf numFmtId="177" fontId="4" fillId="0" borderId="0" xfId="1" applyNumberFormat="1" applyFont="1" applyAlignment="1"/>
    <xf numFmtId="4" fontId="4" fillId="0" borderId="0" xfId="0" applyNumberFormat="1" applyFont="1"/>
    <xf numFmtId="3" fontId="4" fillId="0" borderId="0" xfId="0" applyNumberFormat="1" applyFont="1"/>
    <xf numFmtId="43" fontId="4" fillId="0" borderId="0" xfId="1" applyFont="1" applyFill="1" applyAlignment="1"/>
    <xf numFmtId="177" fontId="3" fillId="0" borderId="0" xfId="1" applyNumberFormat="1" applyFont="1" applyFill="1" applyAlignment="1">
      <alignment horizontal="right" vertical="top" wrapText="1"/>
    </xf>
    <xf numFmtId="43" fontId="3" fillId="0" borderId="0" xfId="1" applyFont="1" applyFill="1" applyAlignment="1">
      <alignment horizontal="right" vertical="top" wrapText="1"/>
    </xf>
    <xf numFmtId="180" fontId="12" fillId="0" borderId="15" xfId="80" applyNumberFormat="1" applyFont="1" applyBorder="1" applyAlignment="1">
      <alignment horizontal="right" vertical="center"/>
    </xf>
    <xf numFmtId="180" fontId="12" fillId="0" borderId="16" xfId="80" applyNumberFormat="1" applyFont="1" applyBorder="1" applyAlignment="1">
      <alignment horizontal="right" vertical="center"/>
    </xf>
    <xf numFmtId="180" fontId="12" fillId="0" borderId="14" xfId="80" applyNumberFormat="1" applyFont="1" applyBorder="1" applyAlignment="1">
      <alignment horizontal="right" vertical="center"/>
    </xf>
    <xf numFmtId="180" fontId="12" fillId="0" borderId="12" xfId="80" applyNumberFormat="1" applyFont="1" applyBorder="1" applyAlignment="1">
      <alignment horizontal="right" vertical="center"/>
    </xf>
    <xf numFmtId="182" fontId="10" fillId="0" borderId="11" xfId="0" applyNumberFormat="1" applyFont="1" applyBorder="1" applyAlignment="1">
      <alignment horizontal="right" vertical="center" wrapText="1"/>
    </xf>
    <xf numFmtId="182" fontId="12" fillId="0" borderId="11" xfId="0" applyNumberFormat="1" applyFont="1" applyBorder="1" applyAlignment="1">
      <alignment horizontal="right" vertical="center" wrapText="1"/>
    </xf>
    <xf numFmtId="182" fontId="10" fillId="0" borderId="17" xfId="0" applyNumberFormat="1" applyFont="1" applyBorder="1" applyAlignment="1">
      <alignment horizontal="right" vertical="center" wrapText="1"/>
    </xf>
    <xf numFmtId="182" fontId="12" fillId="0" borderId="17" xfId="0" applyNumberFormat="1" applyFont="1" applyBorder="1" applyAlignment="1">
      <alignment horizontal="right" vertical="center" wrapText="1"/>
    </xf>
    <xf numFmtId="177" fontId="3" fillId="0" borderId="0" xfId="1" applyNumberFormat="1" applyFont="1" applyAlignment="1">
      <alignment vertical="top" wrapText="1"/>
    </xf>
    <xf numFmtId="10" fontId="3" fillId="0" borderId="0" xfId="2" applyNumberFormat="1" applyFont="1" applyAlignment="1">
      <alignment vertical="top" wrapText="1"/>
    </xf>
    <xf numFmtId="177" fontId="3" fillId="0" borderId="0" xfId="1" applyNumberFormat="1" applyFont="1" applyFill="1" applyAlignment="1">
      <alignment vertical="top" wrapText="1"/>
    </xf>
    <xf numFmtId="10" fontId="3" fillId="0" borderId="0" xfId="2" applyNumberFormat="1" applyFont="1" applyFill="1" applyAlignment="1">
      <alignment vertical="top" wrapText="1"/>
    </xf>
    <xf numFmtId="10" fontId="43" fillId="0" borderId="0" xfId="2" applyNumberFormat="1" applyFont="1" applyFill="1" applyAlignment="1">
      <alignment vertical="top" wrapText="1"/>
    </xf>
    <xf numFmtId="10" fontId="0" fillId="0" borderId="0" xfId="0" applyNumberFormat="1"/>
    <xf numFmtId="43" fontId="0" fillId="0" borderId="0" xfId="1" applyFont="1" applyAlignment="1"/>
    <xf numFmtId="183" fontId="4" fillId="0" borderId="0" xfId="0" applyNumberFormat="1" applyFont="1"/>
    <xf numFmtId="184" fontId="4" fillId="0" borderId="0" xfId="0" applyNumberFormat="1" applyFont="1"/>
  </cellXfs>
  <cellStyles count="186">
    <cellStyle name="20% - 輔色1 2" xfId="5" xr:uid="{7A86E234-8DA3-4A16-8047-6F87340A4069}"/>
    <cellStyle name="20% - 輔色1 3" xfId="4" xr:uid="{EA3E8654-CCCD-424E-A4A3-CA6C24302E2E}"/>
    <cellStyle name="20% - 輔色2 2" xfId="7" xr:uid="{7D6B426E-7967-48D4-87D2-146C9C4B6D1E}"/>
    <cellStyle name="20% - 輔色2 3" xfId="6" xr:uid="{F44934EB-B05D-466E-BBE3-BAFFA84BBB64}"/>
    <cellStyle name="20% - 輔色3 2" xfId="9" xr:uid="{17CC2AD4-91D2-46A6-B6F2-4599497D6282}"/>
    <cellStyle name="20% - 輔色3 3" xfId="8" xr:uid="{9A538BED-94D1-4CA4-A0B5-2371A1DCE148}"/>
    <cellStyle name="20% - 輔色4 2" xfId="11" xr:uid="{5BF18924-713C-43C8-91C9-601F6BD510C6}"/>
    <cellStyle name="20% - 輔色4 3" xfId="10" xr:uid="{636AA36E-CB62-4FF5-8257-FBFF7C7276DA}"/>
    <cellStyle name="20% - 輔色5 2" xfId="13" xr:uid="{FBBC26B5-B707-4D79-8327-ED429947F94A}"/>
    <cellStyle name="20% - 輔色5 3" xfId="12" xr:uid="{11476A25-A1F9-402C-A593-95E0F11FEAC0}"/>
    <cellStyle name="20% - 輔色6 2" xfId="15" xr:uid="{80F34A44-2907-459D-871D-9216EA44DAC8}"/>
    <cellStyle name="20% - 輔色6 3" xfId="14" xr:uid="{251F083F-94B1-40E1-836D-46D65C59122B}"/>
    <cellStyle name="40% - 輔色1 2" xfId="17" xr:uid="{CEF5B098-FA34-4F6A-8B5F-A0738376E6A4}"/>
    <cellStyle name="40% - 輔色1 3" xfId="16" xr:uid="{94C2195F-691C-42F1-A330-B37F8FFF491E}"/>
    <cellStyle name="40% - 輔色2 2" xfId="19" xr:uid="{2BA1BC6E-D425-47E4-8701-A0FEA6274F22}"/>
    <cellStyle name="40% - 輔色2 3" xfId="18" xr:uid="{970D936B-42A7-4E57-8260-C9146DB309BB}"/>
    <cellStyle name="40% - 輔色3 2" xfId="21" xr:uid="{B10F2DEA-8E84-41CD-B57C-EC8730145429}"/>
    <cellStyle name="40% - 輔色3 3" xfId="20" xr:uid="{A152209B-31AC-4C28-8FA6-9FDAA4FA92B9}"/>
    <cellStyle name="40% - 輔色4 2" xfId="23" xr:uid="{07B68B34-97ED-4A3D-8467-8618C43B0620}"/>
    <cellStyle name="40% - 輔色4 3" xfId="22" xr:uid="{572A9CB1-35FD-4C06-B7ED-17B4616CBF8D}"/>
    <cellStyle name="40% - 輔色5 2" xfId="25" xr:uid="{733F30F3-B391-45D0-89E1-6F0D9729EDA2}"/>
    <cellStyle name="40% - 輔色5 3" xfId="24" xr:uid="{3B7EBED0-0DF4-4C15-9D1B-C72432A86376}"/>
    <cellStyle name="40% - 輔色6 2" xfId="27" xr:uid="{24FBC89D-BD3D-43B3-837A-0B74BB58F0F6}"/>
    <cellStyle name="40% - 輔色6 3" xfId="26" xr:uid="{94D6793C-DF8D-4588-85B1-3FFD7930F3BA}"/>
    <cellStyle name="60% - 輔色1 2" xfId="29" xr:uid="{8579C15B-8B27-49E2-903C-66BF1A42FAAF}"/>
    <cellStyle name="60% - 輔色1 3" xfId="28" xr:uid="{B7F57271-BECF-4BC5-9357-EB93F9DF59D2}"/>
    <cellStyle name="60% - 輔色2 2" xfId="31" xr:uid="{31CEE0C5-23B9-4BDF-861B-FA93906B7E7A}"/>
    <cellStyle name="60% - 輔色2 3" xfId="30" xr:uid="{A073D0E4-9E7E-4BD2-8A56-F9F2271F155E}"/>
    <cellStyle name="60% - 輔色3 2" xfId="33" xr:uid="{AC34D4E3-B766-45A8-9C41-4A7323344C59}"/>
    <cellStyle name="60% - 輔色3 3" xfId="32" xr:uid="{1AE68747-8985-46A8-B19B-249150794C8C}"/>
    <cellStyle name="60% - 輔色4 2" xfId="35" xr:uid="{2D2AF0BB-43E8-4822-9F2E-10789D46FB12}"/>
    <cellStyle name="60% - 輔色4 3" xfId="34" xr:uid="{8B1F22DD-5D04-450E-8EC2-8ED3499DFE7C}"/>
    <cellStyle name="60% - 輔色5 2" xfId="37" xr:uid="{FC792F6C-5A09-4621-BD60-B60724EEDAA1}"/>
    <cellStyle name="60% - 輔色5 3" xfId="36" xr:uid="{81C6DBDB-7B79-4647-A9D5-7EA6673EB3D1}"/>
    <cellStyle name="60% - 輔色6 2" xfId="39" xr:uid="{F2230929-2DD3-46D6-88BA-B9C5ABF6BB1D}"/>
    <cellStyle name="60% - 輔色6 3" xfId="38" xr:uid="{47DF6A75-D613-4E89-96C3-9B950A9CB8F0}"/>
    <cellStyle name="Grey" xfId="40" xr:uid="{128B8DD9-2D5C-4276-90DD-972AC0F2A0AB}"/>
    <cellStyle name="Input [yellow]" xfId="41" xr:uid="{553F9FE3-9C97-4B47-961C-93F12FB9FDF6}"/>
    <cellStyle name="Input [yellow] 2" xfId="180" xr:uid="{9A7D9B90-89EC-437F-9ADD-A6CEC111F791}"/>
    <cellStyle name="Input [yellow] 3" xfId="185" xr:uid="{C3637BC6-043C-4CF4-8DC4-E1D3E829B2A6}"/>
    <cellStyle name="no dec" xfId="42" xr:uid="{3649A791-CDB2-4403-855E-D213448AB92B}"/>
    <cellStyle name="Normal - Style1" xfId="43" xr:uid="{375DFC69-DC75-431C-B13D-57D3AC5F3743}"/>
    <cellStyle name="Normal_APR" xfId="44" xr:uid="{10037A9E-5C7E-4B8F-9CBE-DE02478CAD7C}"/>
    <cellStyle name="Percent [2]" xfId="45" xr:uid="{7FCD3E81-76B1-4941-A796-E9DCB959C49C}"/>
    <cellStyle name="一般" xfId="0" builtinId="0"/>
    <cellStyle name="一般 10" xfId="46" xr:uid="{6CA70019-986A-4D65-88B5-4EE73CCE425F}"/>
    <cellStyle name="一般 11" xfId="47" xr:uid="{AAC13187-320A-4220-8D54-9AF38A42FC0F}"/>
    <cellStyle name="一般 12" xfId="3" xr:uid="{2A35D49D-5ED6-45F2-BD8B-4F74EAB1DD2B}"/>
    <cellStyle name="一般 1539" xfId="169" xr:uid="{9AB54589-4F20-4148-82E5-F15338200FC7}"/>
    <cellStyle name="一般 1540" xfId="171" xr:uid="{61C14629-E0D8-4A98-93E8-2FB26F31F7C4}"/>
    <cellStyle name="一般 1541" xfId="170" xr:uid="{2C05588E-A0A5-4A94-A2D2-D42CF9461CA3}"/>
    <cellStyle name="一般 17" xfId="172" xr:uid="{9D5A07FD-8496-45E5-8F2A-051AEA680851}"/>
    <cellStyle name="一般 19" xfId="48" xr:uid="{7611F62A-DBB4-4135-B34C-2063A1047FB5}"/>
    <cellStyle name="一般 2" xfId="49" xr:uid="{BC5DDA37-1204-41F8-849F-3BB5B4390A65}"/>
    <cellStyle name="一般 2 2" xfId="50" xr:uid="{66E6A391-0BDD-4463-8B50-724825961ADA}"/>
    <cellStyle name="一般 2 3" xfId="51" xr:uid="{EC3CDC62-7592-4328-A87A-D4847A3657C5}"/>
    <cellStyle name="一般 2 4" xfId="52" xr:uid="{BB97EBFE-BD7F-4D52-A903-79A2C19D89B4}"/>
    <cellStyle name="一般 2 5" xfId="53" xr:uid="{B03C12BD-C439-4C39-99AA-63FE8CD700F6}"/>
    <cellStyle name="一般 2 6" xfId="54" xr:uid="{6798577B-E927-486F-A75D-2894928E2D17}"/>
    <cellStyle name="一般 2_表1之2銀行消金業務分析" xfId="55" xr:uid="{A4E8285D-7C2C-422F-8361-255650AC862D}"/>
    <cellStyle name="一般 20" xfId="56" xr:uid="{D6FAA8C8-B640-4AC1-A47E-6A83F230C805}"/>
    <cellStyle name="一般 21" xfId="57" xr:uid="{F4238264-4DCD-4FC3-9C38-6CFE699420C9}"/>
    <cellStyle name="一般 23" xfId="58" xr:uid="{9B33CEEA-F564-4114-9DE2-8A6C7A2FE4F2}"/>
    <cellStyle name="一般 25" xfId="59" xr:uid="{5EFE4EE2-EA19-4D47-A8DB-3675F853CC7B}"/>
    <cellStyle name="一般 26" xfId="60" xr:uid="{88A511C7-5AEE-4FEE-A72D-5D8BAA4A3582}"/>
    <cellStyle name="一般 286" xfId="61" xr:uid="{1436AD63-C1ED-4C53-9E92-83F02992EA8F}"/>
    <cellStyle name="一般 287" xfId="62" xr:uid="{09B10676-B6F3-48EA-99CF-983D89FB2C0D}"/>
    <cellStyle name="一般 289" xfId="63" xr:uid="{727D5BEB-8CC3-4E35-86E8-79B62B6A5BD3}"/>
    <cellStyle name="一般 3" xfId="64" xr:uid="{888B3734-37D2-4A86-BBEF-BDF09815E6A7}"/>
    <cellStyle name="一般 3 2" xfId="65" xr:uid="{8D5BE966-6B99-46D1-8833-2E9455A8716A}"/>
    <cellStyle name="一般 3 3" xfId="66" xr:uid="{B5471E8C-8828-4730-B6B4-59CE39D4C4E5}"/>
    <cellStyle name="一般 3_~1121496" xfId="67" xr:uid="{E7F5618D-AA35-4654-9A0B-3B7440E550A2}"/>
    <cellStyle name="一般 31" xfId="68" xr:uid="{AB8426B0-68E7-4543-AF5B-5E0D5D9ACD53}"/>
    <cellStyle name="一般 310" xfId="69" xr:uid="{51241825-30DB-4818-A7EC-9E434460C899}"/>
    <cellStyle name="一般 311" xfId="70" xr:uid="{C25FD55E-CF1D-4A40-BC06-38BC0E8C71CA}"/>
    <cellStyle name="一般 312" xfId="71" xr:uid="{B1456DCF-BCDB-4CA8-A623-23084C21601D}"/>
    <cellStyle name="一般 32" xfId="72" xr:uid="{41B02051-06F0-4A6D-AD0E-8C2A3F6A6DE8}"/>
    <cellStyle name="一般 33" xfId="73" xr:uid="{BE4EAF10-AE3D-4E3D-BD79-16C2BD67625E}"/>
    <cellStyle name="一般 4" xfId="74" xr:uid="{B1D80CA7-B16A-4752-9EFB-EC0FA29D2C83}"/>
    <cellStyle name="一般 5" xfId="75" xr:uid="{EDE805B5-8E23-4C7D-8ED7-BF61FB1BFAB4}"/>
    <cellStyle name="一般 6" xfId="76" xr:uid="{2C949CC4-53C7-4068-BA54-69349FAAC33B}"/>
    <cellStyle name="一般 7" xfId="77" xr:uid="{D4F6D3C5-A8EC-41CD-90EF-7BE5904ACA10}"/>
    <cellStyle name="一般 8" xfId="78" xr:uid="{FE9651F7-F541-40F0-A272-8D51880B77A1}"/>
    <cellStyle name="一般 9" xfId="79" xr:uid="{2F7CFB54-3334-486D-BBC4-840CB8840BE4}"/>
    <cellStyle name="一般_表1之5銀行企金業務分析_1" xfId="80" xr:uid="{B450CA5A-28FA-4960-8B79-6E46C352FCF8}"/>
    <cellStyle name="千分位" xfId="1" builtinId="3"/>
    <cellStyle name="千分位 10" xfId="82" xr:uid="{2607B66C-392A-4F4F-AE3A-E7B70DC16AC4}"/>
    <cellStyle name="千分位 11" xfId="81" xr:uid="{89733A66-B8E0-4E8D-B464-6F257627F78B}"/>
    <cellStyle name="千分位 2" xfId="83" xr:uid="{17C9B211-F2C3-440E-ADE5-619505D206B6}"/>
    <cellStyle name="千分位 2 2" xfId="84" xr:uid="{0DB21BB7-B28B-4178-9D04-8CE6E6174479}"/>
    <cellStyle name="千分位 2 3" xfId="85" xr:uid="{6F3D5564-5543-4B27-ADF4-C70E0286393D}"/>
    <cellStyle name="千分位 2 4" xfId="86" xr:uid="{124E62AF-5245-49E9-A23E-3ED5E50E79DC}"/>
    <cellStyle name="千分位 2 5" xfId="87" xr:uid="{3391505A-923C-4395-9327-A13798C09268}"/>
    <cellStyle name="千分位 2_表1之2銀行消金業務分析" xfId="88" xr:uid="{9E777C61-ACD1-4BC5-8C6E-C42B5E229FA5}"/>
    <cellStyle name="千分位 3" xfId="89" xr:uid="{4042EC47-8DFC-4A31-9C1A-6E850E0FB89F}"/>
    <cellStyle name="千分位 3 2" xfId="167" xr:uid="{D66288AE-33FB-4FD2-B3E1-6182BAEFCB9F}"/>
    <cellStyle name="千分位 3 2 2" xfId="168" xr:uid="{915FD90A-AD05-4F09-ACA6-0E379AFA5B07}"/>
    <cellStyle name="千分位 4" xfId="90" xr:uid="{F439D051-5FAF-4A03-882F-33C3821A7275}"/>
    <cellStyle name="千分位 4 2" xfId="91" xr:uid="{CC582B98-A09D-4AC9-9F63-0CE380615128}"/>
    <cellStyle name="千分位 4 2 2" xfId="92" xr:uid="{1351712A-EAF7-4D57-A8CC-D972FBA263E0}"/>
    <cellStyle name="千分位 4 2 3" xfId="93" xr:uid="{DA986769-36C3-48FB-9AAD-BF2077F60417}"/>
    <cellStyle name="千分位 4 3" xfId="94" xr:uid="{9BBE7E14-E8C2-4665-A165-FA87661B1309}"/>
    <cellStyle name="千分位 4 3 2" xfId="95" xr:uid="{C6D58FA1-475B-480C-8F29-5262C95E2A88}"/>
    <cellStyle name="千分位 4 3 3" xfId="96" xr:uid="{FF8D1036-C21B-41C7-9574-EB7AF1638956}"/>
    <cellStyle name="千分位 4 4" xfId="97" xr:uid="{4C908D99-1C5A-46E8-8012-D39FE9ECA415}"/>
    <cellStyle name="千分位 4 5" xfId="98" xr:uid="{94B8E952-BEF7-42FF-8121-E8E09D831CF5}"/>
    <cellStyle name="千分位 4_表9財務概況比較表" xfId="99" xr:uid="{C9AD29F9-7BE3-475E-82EF-73AE883352D0}"/>
    <cellStyle name="千分位 5" xfId="100" xr:uid="{FE0FCD1B-9AA0-4D10-9D2A-84CE27DDCF71}"/>
    <cellStyle name="千分位 6" xfId="101" xr:uid="{19AB4FA2-D829-42A7-966C-7456E9385744}"/>
    <cellStyle name="千分位 7" xfId="102" xr:uid="{F0EC8D15-13C0-43B0-A5D8-64247E4B44E8}"/>
    <cellStyle name="千分位 8" xfId="103" xr:uid="{037C4037-A9E3-4093-9F1C-4E2F240CBEB8}"/>
    <cellStyle name="千分位 9" xfId="104" xr:uid="{B0CE5640-C1BD-49F3-832A-382396FF945F}"/>
    <cellStyle name="千分位[0] 2" xfId="105" xr:uid="{E75E985C-EE04-4F5B-A453-7B2B213DDF2E}"/>
    <cellStyle name="千分位[0] 2 2" xfId="106" xr:uid="{7B2025D0-87DC-4432-9534-FBAD68E6ED8D}"/>
    <cellStyle name="中文字形" xfId="107" xr:uid="{A21DFC97-744C-478D-AD2B-3F47BC9D969C}"/>
    <cellStyle name="中等 2" xfId="109" xr:uid="{6FE9CBEE-5183-422E-998C-7130AD99AA50}"/>
    <cellStyle name="中等 3" xfId="108" xr:uid="{E98B3B52-F7D6-4DFD-8267-2D5441BECBB7}"/>
    <cellStyle name="合計 2" xfId="111" xr:uid="{78A14E56-7043-4529-9B62-993552026A85}"/>
    <cellStyle name="合計 2 2" xfId="183" xr:uid="{AAD16056-7D0B-42E2-BC48-DE857FB18974}"/>
    <cellStyle name="合計 3" xfId="110" xr:uid="{F29253D9-7788-4F9C-A82D-DEF2F087E29A}"/>
    <cellStyle name="合計 4" xfId="184" xr:uid="{9BF91B2E-9235-4A3D-B2CC-21C5E6111CF1}"/>
    <cellStyle name="好 2" xfId="113" xr:uid="{11619D20-87A4-4C27-8599-009C909EB8A6}"/>
    <cellStyle name="好 3" xfId="112" xr:uid="{411D0087-A407-4EF7-97ED-C2896988A123}"/>
    <cellStyle name="百分比" xfId="2" builtinId="5"/>
    <cellStyle name="百分比 2" xfId="115" xr:uid="{775876A7-E744-46DF-BCA0-1071A0EB7448}"/>
    <cellStyle name="百分比 2 2" xfId="116" xr:uid="{8A7A5F7B-8C53-4B8F-B4B7-28D46848C93D}"/>
    <cellStyle name="百分比 2 3" xfId="117" xr:uid="{F7BC6333-8EF3-4171-BA80-2E6DFE6D3E84}"/>
    <cellStyle name="百分比 2 4" xfId="118" xr:uid="{C0FB9FEE-2FE5-4C97-B57B-A47FFCD56B5B}"/>
    <cellStyle name="百分比 2 5" xfId="119" xr:uid="{BA17F24F-3256-4551-9BA3-8797388F5EC0}"/>
    <cellStyle name="百分比 2 6" xfId="120" xr:uid="{69BB0471-69A3-467C-B2C4-618D57BA1B81}"/>
    <cellStyle name="百分比 3" xfId="121" xr:uid="{57BE0EE7-97C0-48FE-A2C2-597E46D1E034}"/>
    <cellStyle name="百分比 4" xfId="122" xr:uid="{8844C791-5BA5-4EBD-9090-63A3CBEC0ED6}"/>
    <cellStyle name="百分比 5" xfId="114" xr:uid="{71D30951-8F69-4E2D-977B-1B7F4CBD2DBC}"/>
    <cellStyle name="計算方式 2" xfId="124" xr:uid="{1A919E7C-51E3-4474-8B04-FBBDB9DC8353}"/>
    <cellStyle name="計算方式 2 2" xfId="181" xr:uid="{4AA1A8B0-0A02-4824-B797-DD63531C1348}"/>
    <cellStyle name="計算方式 3" xfId="123" xr:uid="{E5AF1A13-5D46-472B-BABB-52B22BCA7EBA}"/>
    <cellStyle name="計算方式 4" xfId="182" xr:uid="{D4C2C4E7-D203-4BF7-8BE8-ABB5C32FBD50}"/>
    <cellStyle name="貨幣[0]_INVENTORY-3" xfId="125" xr:uid="{91814485-693F-4E68-8D0C-83DD78AFDA4D}"/>
    <cellStyle name="連結的儲存格 2" xfId="127" xr:uid="{4853A797-4221-4081-8DBF-D18CDF6454C8}"/>
    <cellStyle name="連結的儲存格 3" xfId="126" xr:uid="{5496F796-9962-439F-B05E-83A2FD98C0F5}"/>
    <cellStyle name="備註 2" xfId="129" xr:uid="{BA2D2F7B-CAF4-4DD9-8533-1CF7CE9E80EC}"/>
    <cellStyle name="備註 2 2" xfId="178" xr:uid="{2B13B8AA-1E04-4E70-ACB5-02BCB2801DD2}"/>
    <cellStyle name="備註 3" xfId="130" xr:uid="{7F0B1EBA-D59E-4DB1-AF59-218E7EB4E050}"/>
    <cellStyle name="備註 3 2" xfId="177" xr:uid="{9DB3B961-001E-45DA-8EAE-544736780C28}"/>
    <cellStyle name="備註 4" xfId="128" xr:uid="{3F50CAB5-AFC1-4707-A221-AE4AF7127846}"/>
    <cellStyle name="備註 5" xfId="179" xr:uid="{151F2CA8-BAA4-4B79-BB18-495B60B1C900}"/>
    <cellStyle name="說明文字 2" xfId="132" xr:uid="{74D72402-3A4A-4759-99B1-CA2A26BDB3D1}"/>
    <cellStyle name="說明文字 3" xfId="131" xr:uid="{390E93BB-1646-4ADB-93D2-08C7A3C0405E}"/>
    <cellStyle name="輔色1 2" xfId="134" xr:uid="{7A40D6C2-202C-4966-AAAC-CD3F5F9E7FAF}"/>
    <cellStyle name="輔色1 3" xfId="133" xr:uid="{DB4F19F6-B71B-49E1-A3B4-9B02CC39AF88}"/>
    <cellStyle name="輔色2 2" xfId="136" xr:uid="{34E25368-A455-4D39-BB05-0B27CA745C21}"/>
    <cellStyle name="輔色2 3" xfId="135" xr:uid="{34E5E643-BA57-459A-B620-35B993510EB1}"/>
    <cellStyle name="輔色3 2" xfId="138" xr:uid="{AFDCB097-7317-4BA6-BCA0-9BCBE8D11E5D}"/>
    <cellStyle name="輔色3 3" xfId="137" xr:uid="{E268E099-2CB9-4B68-8E8E-08D98E67EDDE}"/>
    <cellStyle name="輔色4 2" xfId="140" xr:uid="{F51ECB8E-E6DF-4AFC-BE80-035555724403}"/>
    <cellStyle name="輔色4 3" xfId="139" xr:uid="{D2F3B917-C1E1-4F60-BD68-AC46BA3DC084}"/>
    <cellStyle name="輔色5 2" xfId="142" xr:uid="{CFEDEFDD-DDAF-4522-BEDE-9337AA10B6AE}"/>
    <cellStyle name="輔色5 3" xfId="141" xr:uid="{B1DD39E3-6755-4833-9B75-129F5D39B516}"/>
    <cellStyle name="輔色6 2" xfId="144" xr:uid="{9797CCA3-1886-4AB9-8122-F0021642BE40}"/>
    <cellStyle name="輔色6 3" xfId="143" xr:uid="{B6564E5C-16A8-4CA5-8512-73BEE9183B83}"/>
    <cellStyle name="標題 1 2" xfId="147" xr:uid="{18D1BD96-00C0-4D8A-B1A8-DC2DB3E2DE69}"/>
    <cellStyle name="標題 1 3" xfId="146" xr:uid="{CC09F56A-275A-405F-B01F-722B2D04807C}"/>
    <cellStyle name="標題 2 2" xfId="149" xr:uid="{40334D45-9E8B-4B50-992B-ECBF9BA4B27F}"/>
    <cellStyle name="標題 2 3" xfId="148" xr:uid="{75F4692F-04AD-4D9B-B91D-7E518462FE58}"/>
    <cellStyle name="標題 3 2" xfId="151" xr:uid="{53CA6D2C-9626-45DE-A8A9-3E995F42C93D}"/>
    <cellStyle name="標題 3 3" xfId="150" xr:uid="{12163D6B-FEE2-4472-9FBF-B6D2C03FD38A}"/>
    <cellStyle name="標題 4 2" xfId="153" xr:uid="{CD163E50-B0C0-42FD-9509-AF8C21FF4140}"/>
    <cellStyle name="標題 4 3" xfId="152" xr:uid="{EAA20EF1-0104-49AA-ADAA-8149C2AB91D5}"/>
    <cellStyle name="標題 5" xfId="154" xr:uid="{8B5D3FFE-B4F3-4723-A134-A8E7B9974D96}"/>
    <cellStyle name="標題 6" xfId="145" xr:uid="{90298C97-27AD-4B63-BADA-FB7CFF1DFE54}"/>
    <cellStyle name="樣式 1" xfId="155" xr:uid="{86D47155-2707-4C7D-A49A-50484C31837A}"/>
    <cellStyle name="輸入 2" xfId="157" xr:uid="{7C3CFEBE-0ED0-4AAF-A0CE-D85E9A096C09}"/>
    <cellStyle name="輸入 2 2" xfId="175" xr:uid="{A518A77D-1C69-4816-97C9-B17B927C4F45}"/>
    <cellStyle name="輸入 3" xfId="156" xr:uid="{BB9BA2C6-8BD7-49F1-8ADE-225A0686E529}"/>
    <cellStyle name="輸入 4" xfId="176" xr:uid="{3FADCBA9-86F6-46D0-BCE7-0526834DA37D}"/>
    <cellStyle name="輸出 2" xfId="159" xr:uid="{7E4FDDD3-D480-4F12-B459-4D14E3C27C9A}"/>
    <cellStyle name="輸出 2 2" xfId="173" xr:uid="{2491F19B-4705-4B62-B8C3-8DE24A799664}"/>
    <cellStyle name="輸出 3" xfId="158" xr:uid="{A0C68BBA-6FC6-4516-B4B0-167AFAF007F9}"/>
    <cellStyle name="輸出 4" xfId="174" xr:uid="{8FF8AE11-731D-4042-BDE5-0964BB7627A1}"/>
    <cellStyle name="隨後的超連結_9302" xfId="160" xr:uid="{BB8AAD4A-BF2D-4EDB-B6E0-99DEDCE2ED64}"/>
    <cellStyle name="檢查儲存格 2" xfId="162" xr:uid="{08E9F70E-7499-4225-873E-0FC7E19CD47C}"/>
    <cellStyle name="檢查儲存格 3" xfId="161" xr:uid="{4920B793-5419-480B-8012-3D1A2F3A5585}"/>
    <cellStyle name="壞 2" xfId="164" xr:uid="{656C797C-74BD-4B9A-9225-38AB9B77AB9E}"/>
    <cellStyle name="壞 3" xfId="163" xr:uid="{B9D7D5BB-D840-49F4-8649-ACC4582CE038}"/>
    <cellStyle name="警告文字 2" xfId="166" xr:uid="{9FDB2719-541A-40F0-B007-462DD69AA23A}"/>
    <cellStyle name="警告文字 3" xfId="165" xr:uid="{230AEC58-2C1E-40C1-BBEA-DF7883C8D0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7"/>
  <sheetViews>
    <sheetView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L16" sqref="L16"/>
    </sheetView>
  </sheetViews>
  <sheetFormatPr defaultRowHeight="15.75"/>
  <cols>
    <col min="1" max="1" width="18.140625" customWidth="1"/>
    <col min="2" max="2" width="14.28515625" customWidth="1"/>
    <col min="3" max="3" width="11" bestFit="1" customWidth="1"/>
    <col min="7" max="7" width="11" style="1" customWidth="1"/>
  </cols>
  <sheetData>
    <row r="1" spans="1:8">
      <c r="A1" s="2" t="s">
        <v>0</v>
      </c>
      <c r="B1" s="30">
        <v>2020</v>
      </c>
      <c r="C1" s="30">
        <v>2021</v>
      </c>
      <c r="D1" s="30">
        <v>2022</v>
      </c>
      <c r="E1" s="30">
        <v>2023</v>
      </c>
      <c r="F1" s="30">
        <v>2024</v>
      </c>
      <c r="G1" s="30" t="s">
        <v>57</v>
      </c>
      <c r="H1" s="31">
        <v>45838.5</v>
      </c>
    </row>
    <row r="2" spans="1:8">
      <c r="A2" s="2" t="s">
        <v>8</v>
      </c>
      <c r="B2" s="2">
        <v>4.58</v>
      </c>
      <c r="C2" s="4">
        <v>8.82</v>
      </c>
      <c r="D2" s="4">
        <v>8.98</v>
      </c>
      <c r="E2" s="4">
        <v>11.01</v>
      </c>
      <c r="F2" s="4">
        <v>10.81</v>
      </c>
      <c r="G2" s="5">
        <f>H2/6*12</f>
        <v>10.74</v>
      </c>
      <c r="H2" s="5">
        <v>5.37</v>
      </c>
    </row>
    <row r="3" spans="1:8">
      <c r="A3" s="2" t="s">
        <v>6</v>
      </c>
      <c r="B3" s="2">
        <v>13.03</v>
      </c>
      <c r="C3" s="4">
        <v>16.73</v>
      </c>
      <c r="D3" s="4">
        <v>6.15</v>
      </c>
      <c r="E3" s="4">
        <v>9.36</v>
      </c>
      <c r="F3" s="4">
        <v>16.93</v>
      </c>
      <c r="G3" s="5">
        <f t="shared" ref="G3:G15" si="0">H3/6*12</f>
        <v>11.4</v>
      </c>
      <c r="H3" s="5">
        <v>5.7</v>
      </c>
    </row>
    <row r="4" spans="1:8">
      <c r="A4" s="2" t="s">
        <v>3</v>
      </c>
      <c r="B4" s="2">
        <v>9.01</v>
      </c>
      <c r="C4" s="4">
        <v>15.49</v>
      </c>
      <c r="D4" s="4">
        <v>4.9800000000000004</v>
      </c>
      <c r="E4" s="4">
        <v>7.29</v>
      </c>
      <c r="F4" s="4">
        <v>12.91</v>
      </c>
      <c r="G4" s="5">
        <f t="shared" si="0"/>
        <v>10.88</v>
      </c>
      <c r="H4" s="5">
        <v>5.44</v>
      </c>
    </row>
    <row r="5" spans="1:8">
      <c r="A5" s="2" t="s">
        <v>13</v>
      </c>
      <c r="B5" s="2">
        <v>6.57</v>
      </c>
      <c r="C5" s="4">
        <v>15.05</v>
      </c>
      <c r="D5" s="4">
        <v>6.53</v>
      </c>
      <c r="E5" s="4">
        <v>8.0299999999999994</v>
      </c>
      <c r="F5" s="4">
        <v>11.77</v>
      </c>
      <c r="G5" s="5">
        <f t="shared" si="0"/>
        <v>3.8199999999999994</v>
      </c>
      <c r="H5" s="5">
        <v>1.91</v>
      </c>
    </row>
    <row r="6" spans="1:8">
      <c r="A6" s="2" t="s">
        <v>10</v>
      </c>
      <c r="B6" s="2">
        <v>10.17</v>
      </c>
      <c r="C6" s="4">
        <v>10.95</v>
      </c>
      <c r="D6" s="4">
        <v>8.06</v>
      </c>
      <c r="E6" s="4">
        <v>10.029999999999999</v>
      </c>
      <c r="F6" s="4">
        <v>10.68</v>
      </c>
      <c r="G6" s="5">
        <f t="shared" si="0"/>
        <v>13.36</v>
      </c>
      <c r="H6" s="5">
        <v>6.68</v>
      </c>
    </row>
    <row r="7" spans="1:8">
      <c r="A7" s="2" t="s">
        <v>12</v>
      </c>
      <c r="B7" s="2">
        <v>9.92</v>
      </c>
      <c r="C7" s="4">
        <v>13.22</v>
      </c>
      <c r="D7" s="4">
        <v>8.02</v>
      </c>
      <c r="E7" s="4">
        <v>9.74</v>
      </c>
      <c r="F7" s="4">
        <v>11.89</v>
      </c>
      <c r="G7" s="5">
        <f t="shared" si="0"/>
        <v>10.52</v>
      </c>
      <c r="H7" s="5">
        <v>5.26</v>
      </c>
    </row>
    <row r="8" spans="1:8">
      <c r="A8" s="2" t="s">
        <v>2</v>
      </c>
      <c r="B8" s="2">
        <v>7.69</v>
      </c>
      <c r="C8" s="4">
        <v>7.86</v>
      </c>
      <c r="D8" s="4">
        <v>5.84</v>
      </c>
      <c r="E8" s="4">
        <v>10.46</v>
      </c>
      <c r="F8" s="4">
        <v>9.94</v>
      </c>
      <c r="G8" s="5">
        <f t="shared" si="0"/>
        <v>10.02</v>
      </c>
      <c r="H8" s="5">
        <v>5.01</v>
      </c>
    </row>
    <row r="9" spans="1:8">
      <c r="A9" s="2" t="s">
        <v>45</v>
      </c>
      <c r="B9" s="2">
        <v>7.94</v>
      </c>
      <c r="C9" s="4">
        <v>10.57</v>
      </c>
      <c r="D9" s="4">
        <v>7.41</v>
      </c>
      <c r="E9" s="4">
        <v>6.96</v>
      </c>
      <c r="F9" s="4">
        <v>9.01</v>
      </c>
      <c r="G9" s="5">
        <f t="shared" si="0"/>
        <v>9.26</v>
      </c>
      <c r="H9" s="5">
        <v>4.63</v>
      </c>
    </row>
    <row r="10" spans="1:8">
      <c r="A10" s="2" t="s">
        <v>43</v>
      </c>
      <c r="B10" s="2">
        <v>9.0500000000000007</v>
      </c>
      <c r="C10" s="4">
        <v>10.6</v>
      </c>
      <c r="D10" s="4">
        <v>3.83</v>
      </c>
      <c r="E10" s="4">
        <v>5.47</v>
      </c>
      <c r="F10" s="4">
        <v>5.7</v>
      </c>
      <c r="G10" s="5">
        <f t="shared" si="0"/>
        <v>2.8</v>
      </c>
      <c r="H10" s="5">
        <v>1.4</v>
      </c>
    </row>
    <row r="11" spans="1:8">
      <c r="A11" s="2" t="s">
        <v>11</v>
      </c>
      <c r="B11" s="2">
        <v>8.0500000000000007</v>
      </c>
      <c r="C11" s="4">
        <v>10.17</v>
      </c>
      <c r="D11" s="4">
        <v>10.08</v>
      </c>
      <c r="E11" s="4">
        <v>11.55</v>
      </c>
      <c r="F11" s="4">
        <v>11.29</v>
      </c>
      <c r="G11" s="5">
        <f t="shared" si="0"/>
        <v>12.36</v>
      </c>
      <c r="H11" s="5">
        <v>6.18</v>
      </c>
    </row>
    <row r="12" spans="1:8">
      <c r="A12" s="2" t="s">
        <v>4</v>
      </c>
      <c r="B12" s="2">
        <v>10.9</v>
      </c>
      <c r="C12" s="4">
        <v>12.59</v>
      </c>
      <c r="D12" s="4">
        <v>7.72</v>
      </c>
      <c r="E12" s="4">
        <v>13.42</v>
      </c>
      <c r="F12" s="4">
        <v>15.04</v>
      </c>
      <c r="G12" s="5">
        <f t="shared" si="0"/>
        <v>14.920000000000002</v>
      </c>
      <c r="H12" s="5">
        <v>7.46</v>
      </c>
    </row>
    <row r="13" spans="1:8">
      <c r="A13" s="2" t="s">
        <v>7</v>
      </c>
      <c r="B13" s="2">
        <v>7.62</v>
      </c>
      <c r="C13" s="4">
        <v>8.86</v>
      </c>
      <c r="D13" s="4">
        <v>9.18</v>
      </c>
      <c r="E13" s="4">
        <v>9.51</v>
      </c>
      <c r="F13" s="4">
        <v>9.82</v>
      </c>
      <c r="G13" s="5">
        <f t="shared" si="0"/>
        <v>10.52</v>
      </c>
      <c r="H13" s="5">
        <v>5.26</v>
      </c>
    </row>
    <row r="14" spans="1:8">
      <c r="A14" s="2" t="s">
        <v>44</v>
      </c>
      <c r="B14" s="2">
        <v>2.39</v>
      </c>
      <c r="C14" s="4">
        <v>4.05</v>
      </c>
      <c r="D14" s="4">
        <v>3.97</v>
      </c>
      <c r="E14" s="4">
        <v>5.79</v>
      </c>
      <c r="F14" s="4">
        <v>6.6</v>
      </c>
      <c r="G14" s="5">
        <f t="shared" si="0"/>
        <v>1.46</v>
      </c>
      <c r="H14" s="5">
        <v>0.73</v>
      </c>
    </row>
    <row r="15" spans="1:8">
      <c r="A15" s="2" t="s">
        <v>14</v>
      </c>
      <c r="B15" s="2">
        <v>7.38</v>
      </c>
      <c r="C15" s="4">
        <v>8.83</v>
      </c>
      <c r="D15" s="4">
        <v>8.98</v>
      </c>
      <c r="E15" s="4">
        <v>7.66</v>
      </c>
      <c r="F15" s="4">
        <v>7.84</v>
      </c>
      <c r="G15" s="5">
        <f t="shared" si="0"/>
        <v>7.74</v>
      </c>
      <c r="H15" s="5">
        <v>3.87</v>
      </c>
    </row>
    <row r="17" spans="1:7">
      <c r="D17" s="4"/>
      <c r="E17" s="4"/>
      <c r="F17" s="4"/>
      <c r="G17" s="4"/>
    </row>
    <row r="18" spans="1:7">
      <c r="D18" s="4"/>
      <c r="E18" s="4"/>
      <c r="F18" s="4"/>
      <c r="G18" s="4"/>
    </row>
    <row r="19" spans="1:7">
      <c r="D19" s="5"/>
      <c r="E19" s="5"/>
      <c r="F19" s="5"/>
      <c r="G19" s="5"/>
    </row>
    <row r="20" spans="1:7">
      <c r="A20" s="2"/>
      <c r="B20" s="2"/>
      <c r="C20" s="4"/>
      <c r="D20" s="4"/>
      <c r="E20" s="4"/>
      <c r="F20" s="4"/>
      <c r="G20" s="5"/>
    </row>
    <row r="21" spans="1:7">
      <c r="A21" s="2"/>
      <c r="B21" s="2"/>
      <c r="C21" s="4"/>
      <c r="D21" s="4"/>
      <c r="E21" s="4"/>
      <c r="F21" s="4"/>
      <c r="G21" s="5"/>
    </row>
    <row r="22" spans="1:7">
      <c r="A22" s="2"/>
      <c r="B22" s="2"/>
      <c r="C22" s="4"/>
      <c r="D22" s="4"/>
      <c r="E22" s="4"/>
      <c r="F22" s="4"/>
      <c r="G22" s="5"/>
    </row>
    <row r="23" spans="1:7">
      <c r="A23" s="2"/>
      <c r="B23" s="2"/>
      <c r="C23" s="4"/>
      <c r="D23" s="4"/>
      <c r="E23" s="4"/>
      <c r="F23" s="4"/>
      <c r="G23" s="5"/>
    </row>
    <row r="24" spans="1:7">
      <c r="A24" s="2"/>
      <c r="B24" s="2"/>
      <c r="C24" s="4"/>
      <c r="D24" s="4"/>
      <c r="E24" s="4"/>
      <c r="F24" s="4"/>
      <c r="G24" s="5"/>
    </row>
    <row r="25" spans="1:7">
      <c r="A25" s="2"/>
      <c r="B25" s="2"/>
      <c r="C25" s="4"/>
      <c r="D25" s="4"/>
      <c r="E25" s="4"/>
      <c r="F25" s="4"/>
      <c r="G25" s="5"/>
    </row>
    <row r="26" spans="1:7">
      <c r="A26" s="2"/>
      <c r="B26" s="2"/>
      <c r="C26" s="4"/>
      <c r="D26" s="4"/>
      <c r="E26" s="4"/>
      <c r="F26" s="4"/>
      <c r="G26" s="5"/>
    </row>
    <row r="27" spans="1:7">
      <c r="A27" s="2"/>
      <c r="B27" s="2"/>
      <c r="C27" s="4"/>
      <c r="D27" s="4"/>
      <c r="E27" s="4"/>
      <c r="F27" s="4"/>
      <c r="G27" s="5"/>
    </row>
    <row r="30" spans="1:7">
      <c r="A30" s="2"/>
      <c r="B30" s="2"/>
      <c r="C30" s="2"/>
      <c r="D30" s="2"/>
      <c r="E30" s="2"/>
      <c r="F30" s="2"/>
      <c r="G30" s="2"/>
    </row>
    <row r="31" spans="1:7">
      <c r="A31" s="2"/>
      <c r="B31" s="2"/>
      <c r="C31" s="2"/>
      <c r="D31" s="2"/>
      <c r="E31" s="2"/>
      <c r="F31" s="2"/>
      <c r="G31" s="2"/>
    </row>
    <row r="32" spans="1:7">
      <c r="A32" s="4"/>
      <c r="B32" s="4"/>
      <c r="C32" s="4"/>
      <c r="D32" s="4"/>
      <c r="E32" s="4"/>
      <c r="F32" s="4"/>
      <c r="G32" s="4"/>
    </row>
    <row r="33" spans="1:7">
      <c r="A33" s="4"/>
      <c r="B33" s="4"/>
      <c r="C33" s="4"/>
      <c r="D33" s="4"/>
      <c r="E33" s="4"/>
      <c r="F33" s="4"/>
      <c r="G33" s="4"/>
    </row>
    <row r="34" spans="1:7">
      <c r="A34" s="4"/>
      <c r="B34" s="4"/>
      <c r="C34" s="4"/>
      <c r="D34" s="4"/>
      <c r="E34" s="4"/>
      <c r="F34" s="4"/>
      <c r="G34" s="4"/>
    </row>
    <row r="35" spans="1:7">
      <c r="A35" s="4"/>
      <c r="B35" s="4"/>
      <c r="C35" s="4"/>
      <c r="D35" s="4"/>
      <c r="E35" s="4"/>
      <c r="F35" s="4"/>
      <c r="G35" s="4"/>
    </row>
    <row r="36" spans="1:7">
      <c r="A36" s="5"/>
      <c r="B36" s="5"/>
      <c r="C36" s="5"/>
      <c r="D36" s="5"/>
      <c r="E36" s="5"/>
      <c r="F36" s="5"/>
      <c r="G36" s="5"/>
    </row>
    <row r="37" spans="1:7">
      <c r="G37"/>
    </row>
  </sheetData>
  <phoneticPr fontId="2" type="noConversion"/>
  <pageMargins left="0.7" right="0.7" top="0.75" bottom="0.75" header="0.3" footer="0.3"/>
  <pageSetup paperSize="9" orientation="portrait" r:id="rId1"/>
  <ignoredErrors>
    <ignoredError sqref="A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ED305-D3CE-4208-8FF8-BC003B6DBFAC}">
  <sheetPr>
    <outlinePr summaryBelow="0" summaryRight="0"/>
  </sheetPr>
  <dimension ref="A1:H26"/>
  <sheetViews>
    <sheetView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H1" sqref="H1"/>
    </sheetView>
  </sheetViews>
  <sheetFormatPr defaultRowHeight="15.75"/>
  <cols>
    <col min="1" max="1" width="26.5703125" customWidth="1"/>
    <col min="2" max="2" width="14.28515625" customWidth="1"/>
    <col min="7" max="7" width="11" style="1" customWidth="1"/>
  </cols>
  <sheetData>
    <row r="1" spans="1:8">
      <c r="A1" s="2" t="s">
        <v>0</v>
      </c>
      <c r="B1" s="30">
        <v>2020</v>
      </c>
      <c r="C1" s="30">
        <v>2021</v>
      </c>
      <c r="D1" s="30">
        <v>2022</v>
      </c>
      <c r="E1" s="30">
        <v>2023</v>
      </c>
      <c r="F1" s="30">
        <v>2024</v>
      </c>
      <c r="G1" s="30" t="s">
        <v>57</v>
      </c>
      <c r="H1" s="31">
        <v>45838.5</v>
      </c>
    </row>
    <row r="2" spans="1:8">
      <c r="A2" t="s">
        <v>40</v>
      </c>
      <c r="B2" s="2">
        <v>4.22</v>
      </c>
      <c r="C2" s="4">
        <v>2.67</v>
      </c>
      <c r="D2" s="4">
        <v>6.79</v>
      </c>
      <c r="E2" s="4">
        <v>0</v>
      </c>
      <c r="F2" s="4">
        <v>0</v>
      </c>
      <c r="G2" s="5">
        <f>H2/6*12</f>
        <v>0</v>
      </c>
      <c r="H2" s="5">
        <v>0</v>
      </c>
    </row>
    <row r="3" spans="1:8">
      <c r="A3" t="s">
        <v>46</v>
      </c>
      <c r="B3" s="2">
        <v>3.02</v>
      </c>
      <c r="C3" s="4">
        <v>3.89</v>
      </c>
      <c r="D3" s="4">
        <v>4.2699999999999996</v>
      </c>
      <c r="E3" s="4">
        <v>5.72</v>
      </c>
      <c r="F3" s="4">
        <v>6.26</v>
      </c>
      <c r="G3" s="5">
        <f t="shared" ref="G3:G17" si="0">H3/6*12</f>
        <v>4.5599999999999996</v>
      </c>
      <c r="H3" s="5">
        <v>2.2799999999999998</v>
      </c>
    </row>
    <row r="4" spans="1:8">
      <c r="A4" t="s">
        <v>47</v>
      </c>
      <c r="B4" s="2">
        <v>6.35</v>
      </c>
      <c r="C4" s="4">
        <v>7.67</v>
      </c>
      <c r="D4" s="4">
        <v>7.89</v>
      </c>
      <c r="E4" s="4">
        <v>6.58</v>
      </c>
      <c r="F4" s="4">
        <v>7.03</v>
      </c>
      <c r="G4" s="5">
        <f t="shared" si="0"/>
        <v>7.62</v>
      </c>
      <c r="H4" s="5">
        <v>3.81</v>
      </c>
    </row>
    <row r="5" spans="1:8">
      <c r="A5" t="s">
        <v>49</v>
      </c>
      <c r="B5" s="2">
        <v>5.61</v>
      </c>
      <c r="C5" s="4">
        <v>6.5</v>
      </c>
      <c r="D5" s="4">
        <v>6.21</v>
      </c>
      <c r="E5" s="4">
        <v>7.25</v>
      </c>
      <c r="F5" s="4">
        <v>7.54</v>
      </c>
      <c r="G5" s="5">
        <f t="shared" si="0"/>
        <v>7.4</v>
      </c>
      <c r="H5" s="5">
        <v>3.7</v>
      </c>
    </row>
    <row r="6" spans="1:8">
      <c r="A6" s="2" t="s">
        <v>48</v>
      </c>
      <c r="B6" s="2">
        <v>4.3</v>
      </c>
      <c r="C6" s="4">
        <v>5.23</v>
      </c>
      <c r="D6" s="4">
        <v>6.44</v>
      </c>
      <c r="E6" s="4">
        <v>7.27</v>
      </c>
      <c r="F6" s="4">
        <v>7.68</v>
      </c>
      <c r="G6" s="5">
        <f t="shared" si="0"/>
        <v>9.06</v>
      </c>
      <c r="H6" s="5">
        <v>4.53</v>
      </c>
    </row>
    <row r="7" spans="1:8">
      <c r="A7" s="2" t="s">
        <v>36</v>
      </c>
      <c r="B7" s="2">
        <v>6.44</v>
      </c>
      <c r="C7" s="4">
        <v>6.22</v>
      </c>
      <c r="D7" s="4">
        <v>9.42</v>
      </c>
      <c r="E7" s="4">
        <v>8.26</v>
      </c>
      <c r="F7" s="4">
        <v>7.8</v>
      </c>
      <c r="G7" s="5">
        <f t="shared" si="0"/>
        <v>9.18</v>
      </c>
      <c r="H7" s="5">
        <v>4.59</v>
      </c>
    </row>
    <row r="8" spans="1:8">
      <c r="A8" s="2" t="s">
        <v>38</v>
      </c>
      <c r="B8" s="2">
        <v>6.93</v>
      </c>
      <c r="C8" s="4">
        <v>6.22</v>
      </c>
      <c r="D8" s="4">
        <v>8.2100000000000009</v>
      </c>
      <c r="E8" s="4">
        <v>9.99</v>
      </c>
      <c r="F8" s="4">
        <v>8.42</v>
      </c>
      <c r="G8" s="5">
        <f t="shared" si="0"/>
        <v>8.8800000000000008</v>
      </c>
      <c r="H8" s="5">
        <v>4.4400000000000004</v>
      </c>
    </row>
    <row r="9" spans="1:8">
      <c r="A9" s="2" t="s">
        <v>50</v>
      </c>
      <c r="B9" s="2">
        <v>7.16</v>
      </c>
      <c r="C9" s="4">
        <v>7.97</v>
      </c>
      <c r="D9" s="4">
        <v>8.9499999999999993</v>
      </c>
      <c r="E9" s="4">
        <v>8.89</v>
      </c>
      <c r="F9" s="4">
        <v>8.99</v>
      </c>
      <c r="G9" s="5">
        <f t="shared" si="0"/>
        <v>9.92</v>
      </c>
      <c r="H9" s="5">
        <v>4.96</v>
      </c>
    </row>
    <row r="10" spans="1:8">
      <c r="A10" s="2" t="s">
        <v>51</v>
      </c>
      <c r="B10" s="2">
        <v>6.24</v>
      </c>
      <c r="C10" s="4">
        <v>7.08</v>
      </c>
      <c r="D10" s="4">
        <v>8.1</v>
      </c>
      <c r="E10" s="4">
        <v>9.3000000000000007</v>
      </c>
      <c r="F10" s="4">
        <v>9.2100000000000009</v>
      </c>
      <c r="G10" s="5">
        <f t="shared" si="0"/>
        <v>9.4600000000000009</v>
      </c>
      <c r="H10" s="5">
        <v>4.7300000000000004</v>
      </c>
    </row>
    <row r="11" spans="1:8">
      <c r="A11" t="s">
        <v>52</v>
      </c>
      <c r="B11" s="2">
        <v>7.72</v>
      </c>
      <c r="C11" s="4">
        <v>7.98</v>
      </c>
      <c r="D11" s="4">
        <v>7.29</v>
      </c>
      <c r="E11" s="4">
        <v>8.31</v>
      </c>
      <c r="F11" s="4">
        <v>9.3800000000000008</v>
      </c>
      <c r="G11" s="5">
        <f t="shared" si="0"/>
        <v>9.7200000000000006</v>
      </c>
      <c r="H11" s="5">
        <v>4.8600000000000003</v>
      </c>
    </row>
    <row r="12" spans="1:8">
      <c r="A12" s="2" t="s">
        <v>37</v>
      </c>
      <c r="B12" s="2">
        <v>8.8000000000000007</v>
      </c>
      <c r="C12" s="4">
        <v>9.41</v>
      </c>
      <c r="D12" s="4">
        <v>10.31</v>
      </c>
      <c r="E12" s="4">
        <v>9.81</v>
      </c>
      <c r="F12" s="4">
        <v>9.4600000000000009</v>
      </c>
      <c r="G12" s="5">
        <f t="shared" si="0"/>
        <v>4.6399999999999997</v>
      </c>
      <c r="H12" s="5">
        <v>2.3199999999999998</v>
      </c>
    </row>
    <row r="13" spans="1:8">
      <c r="A13" t="s">
        <v>39</v>
      </c>
      <c r="B13" s="2">
        <v>7.14</v>
      </c>
      <c r="C13" s="4">
        <v>8.07</v>
      </c>
      <c r="D13" s="4">
        <v>10.47</v>
      </c>
      <c r="E13" s="4">
        <v>10.34</v>
      </c>
      <c r="F13" s="4">
        <v>9.73</v>
      </c>
      <c r="G13" s="5">
        <f t="shared" si="0"/>
        <v>12.04</v>
      </c>
      <c r="H13" s="5">
        <v>6.02</v>
      </c>
    </row>
    <row r="14" spans="1:8">
      <c r="A14" s="2" t="s">
        <v>53</v>
      </c>
      <c r="B14" s="2">
        <v>8.57</v>
      </c>
      <c r="C14" s="4">
        <v>8.09</v>
      </c>
      <c r="D14" s="4">
        <v>9.3000000000000007</v>
      </c>
      <c r="E14" s="4">
        <v>8.56</v>
      </c>
      <c r="F14" s="4">
        <v>9.77</v>
      </c>
      <c r="G14" s="5">
        <f t="shared" si="0"/>
        <v>12.38</v>
      </c>
      <c r="H14" s="5">
        <v>6.19</v>
      </c>
    </row>
    <row r="15" spans="1:8">
      <c r="A15" s="2" t="s">
        <v>54</v>
      </c>
      <c r="B15" s="2">
        <v>9.4499999999999993</v>
      </c>
      <c r="C15" s="4">
        <v>9.61</v>
      </c>
      <c r="D15" s="4">
        <v>7.81</v>
      </c>
      <c r="E15" s="4">
        <v>9.31</v>
      </c>
      <c r="F15" s="4">
        <v>10.050000000000001</v>
      </c>
      <c r="G15" s="5">
        <f t="shared" si="0"/>
        <v>12.759999999999998</v>
      </c>
      <c r="H15" s="5">
        <v>6.38</v>
      </c>
    </row>
    <row r="16" spans="1:8">
      <c r="A16" s="2" t="s">
        <v>55</v>
      </c>
      <c r="B16" s="2">
        <v>8.77</v>
      </c>
      <c r="C16" s="4">
        <v>9.09</v>
      </c>
      <c r="D16" s="4">
        <v>10.99</v>
      </c>
      <c r="E16" s="4">
        <v>11.53</v>
      </c>
      <c r="F16" s="4">
        <v>12.66</v>
      </c>
      <c r="G16" s="5">
        <f t="shared" si="0"/>
        <v>13.64</v>
      </c>
      <c r="H16" s="5">
        <v>6.82</v>
      </c>
    </row>
    <row r="17" spans="1:8">
      <c r="A17" s="2" t="s">
        <v>56</v>
      </c>
      <c r="B17" s="2">
        <v>9.32</v>
      </c>
      <c r="C17" s="4">
        <v>9.57</v>
      </c>
      <c r="D17" s="4">
        <v>10.44</v>
      </c>
      <c r="E17" s="4">
        <v>11.19</v>
      </c>
      <c r="F17" s="4">
        <v>13.31</v>
      </c>
      <c r="G17" s="5">
        <f t="shared" si="0"/>
        <v>15.600000000000001</v>
      </c>
      <c r="H17" s="5">
        <v>7.8</v>
      </c>
    </row>
    <row r="21" spans="1:8">
      <c r="B21" s="2"/>
      <c r="C21" s="2"/>
    </row>
    <row r="22" spans="1:8">
      <c r="B22" s="4"/>
      <c r="C22" s="4"/>
    </row>
    <row r="23" spans="1:8">
      <c r="B23" s="4"/>
      <c r="C23" s="4"/>
    </row>
    <row r="24" spans="1:8">
      <c r="B24" s="4"/>
      <c r="C24" s="4"/>
    </row>
    <row r="25" spans="1:8">
      <c r="B25" s="4"/>
      <c r="C25" s="4"/>
    </row>
    <row r="26" spans="1:8">
      <c r="B26" s="5"/>
      <c r="C26" s="5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F18E2-D7CA-4835-8CE5-C4A316FA71B7}">
  <sheetPr>
    <outlinePr summaryBelow="0" summaryRight="0"/>
  </sheetPr>
  <dimension ref="A1:H16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:H1"/>
    </sheetView>
  </sheetViews>
  <sheetFormatPr defaultRowHeight="15.75"/>
  <cols>
    <col min="1" max="1" width="14.28515625" customWidth="1"/>
    <col min="2" max="5" width="19.28515625" customWidth="1"/>
    <col min="6" max="6" width="17" bestFit="1" customWidth="1"/>
    <col min="7" max="7" width="16.140625" style="1" customWidth="1"/>
    <col min="8" max="8" width="15.5703125" style="1" customWidth="1"/>
  </cols>
  <sheetData>
    <row r="1" spans="1:8">
      <c r="A1" s="2" t="s">
        <v>0</v>
      </c>
      <c r="B1" s="3" t="s">
        <v>25</v>
      </c>
      <c r="C1" s="3" t="s">
        <v>23</v>
      </c>
      <c r="D1" s="3" t="s">
        <v>21</v>
      </c>
      <c r="E1" s="3" t="s">
        <v>20</v>
      </c>
      <c r="F1" s="3" t="s">
        <v>18</v>
      </c>
      <c r="G1" s="3" t="s">
        <v>15</v>
      </c>
      <c r="H1" s="3" t="s">
        <v>16</v>
      </c>
    </row>
    <row r="2" spans="1:8">
      <c r="A2" s="2" t="s">
        <v>2</v>
      </c>
      <c r="B2" s="29">
        <v>5.788707546907828</v>
      </c>
      <c r="C2" s="29">
        <v>6.0575448174160398</v>
      </c>
      <c r="D2" s="29">
        <v>5.3950789906575682</v>
      </c>
      <c r="E2" s="29">
        <v>5.3349955331913996</v>
      </c>
      <c r="F2" s="12">
        <v>5.32</v>
      </c>
      <c r="G2" s="13">
        <v>2939022</v>
      </c>
      <c r="H2" s="14">
        <v>4.882600096830588</v>
      </c>
    </row>
    <row r="3" spans="1:8">
      <c r="A3" s="2" t="s">
        <v>3</v>
      </c>
      <c r="B3" s="29">
        <v>5.749472030496908</v>
      </c>
      <c r="C3" s="29">
        <v>5.8825968434907372</v>
      </c>
      <c r="D3" s="29">
        <v>6.0529288336360256</v>
      </c>
      <c r="E3" s="29">
        <v>6.2808534287223532</v>
      </c>
      <c r="F3" s="12">
        <v>6.29</v>
      </c>
      <c r="G3" s="13">
        <v>3982921</v>
      </c>
      <c r="H3" s="14">
        <v>6.6168305171817643</v>
      </c>
    </row>
    <row r="4" spans="1:8">
      <c r="A4" s="2" t="s">
        <v>4</v>
      </c>
      <c r="B4" s="29">
        <v>6.8506649277076237</v>
      </c>
      <c r="C4" s="29">
        <v>6.8994305495252277</v>
      </c>
      <c r="D4" s="29">
        <v>7.3088891149077355</v>
      </c>
      <c r="E4" s="29">
        <v>7.6657689231343502</v>
      </c>
      <c r="F4" s="12">
        <v>7.53</v>
      </c>
      <c r="G4" s="13">
        <v>4564140</v>
      </c>
      <c r="H4" s="14">
        <v>7.5824102051459157</v>
      </c>
    </row>
    <row r="5" spans="1:8">
      <c r="A5" s="2" t="s">
        <v>5</v>
      </c>
      <c r="B5" s="29">
        <v>3.6519122135233588</v>
      </c>
      <c r="C5" s="29">
        <v>3.519376653692003</v>
      </c>
      <c r="D5" s="29">
        <v>3.7215389142684621</v>
      </c>
      <c r="E5" s="29">
        <v>3.884744303314684</v>
      </c>
      <c r="F5" s="12">
        <v>3.96</v>
      </c>
      <c r="G5" s="13">
        <v>2424900</v>
      </c>
      <c r="H5" s="14">
        <v>4.0284887199906949</v>
      </c>
    </row>
    <row r="6" spans="1:8">
      <c r="A6" s="2" t="s">
        <v>6</v>
      </c>
      <c r="B6" s="29">
        <v>4.7590096362749756</v>
      </c>
      <c r="C6" s="29">
        <v>5.0822156187319898</v>
      </c>
      <c r="D6" s="29">
        <v>5.1759892945519637</v>
      </c>
      <c r="E6" s="29">
        <v>5.6597096777417946</v>
      </c>
      <c r="F6" s="12">
        <v>5.84</v>
      </c>
      <c r="G6" s="13">
        <v>3515063</v>
      </c>
      <c r="H6" s="14">
        <v>5.8395775683766979</v>
      </c>
    </row>
    <row r="7" spans="1:8">
      <c r="A7" s="2" t="s">
        <v>7</v>
      </c>
      <c r="B7" s="29">
        <v>6.0157025108498168</v>
      </c>
      <c r="C7" s="29">
        <v>6.0452517538223978</v>
      </c>
      <c r="D7" s="29">
        <v>6.2849498728491158</v>
      </c>
      <c r="E7" s="29">
        <v>6.3716953176808815</v>
      </c>
      <c r="F7" s="12">
        <v>6.26</v>
      </c>
      <c r="G7" s="13">
        <v>3797969</v>
      </c>
      <c r="H7" s="14">
        <v>6.3095695803432479</v>
      </c>
    </row>
    <row r="8" spans="1:8">
      <c r="A8" s="2" t="s">
        <v>8</v>
      </c>
      <c r="B8" s="29">
        <v>5.6441571717282475</v>
      </c>
      <c r="C8" s="29">
        <v>5.8712144533372266</v>
      </c>
      <c r="D8" s="29">
        <v>5.7829715244527131</v>
      </c>
      <c r="E8" s="29">
        <v>5.5832695072596774</v>
      </c>
      <c r="F8" s="12">
        <v>5.81</v>
      </c>
      <c r="G8" s="13">
        <v>3312047</v>
      </c>
      <c r="H8" s="14">
        <v>5.5023068908322088</v>
      </c>
    </row>
    <row r="9" spans="1:8">
      <c r="A9" s="2" t="s">
        <v>9</v>
      </c>
      <c r="B9" s="29">
        <v>2.0323176001650856</v>
      </c>
      <c r="C9" s="29">
        <v>2.1467800427005113</v>
      </c>
      <c r="D9" s="29">
        <v>2.0497945924252323</v>
      </c>
      <c r="E9" s="29">
        <v>1.9952443013028132</v>
      </c>
      <c r="F9" s="12">
        <v>1.89</v>
      </c>
      <c r="G9" s="13">
        <v>1147761</v>
      </c>
      <c r="H9" s="14">
        <v>1.9067764616047014</v>
      </c>
    </row>
    <row r="10" spans="1:8">
      <c r="A10" s="2" t="s">
        <v>10</v>
      </c>
      <c r="B10" s="29">
        <v>5.4517656294911792</v>
      </c>
      <c r="C10" s="29">
        <v>5.4524321240446589</v>
      </c>
      <c r="D10" s="29">
        <v>5.4871935573523123</v>
      </c>
      <c r="E10" s="29">
        <v>5.4090487690436095</v>
      </c>
      <c r="F10" s="12">
        <v>5.51</v>
      </c>
      <c r="G10" s="13">
        <v>3394642</v>
      </c>
      <c r="H10" s="14">
        <v>5.6395220443757079</v>
      </c>
    </row>
    <row r="11" spans="1:8">
      <c r="A11" s="2" t="s">
        <v>11</v>
      </c>
      <c r="B11" s="29">
        <v>3.6548030870868629</v>
      </c>
      <c r="C11" s="29">
        <v>3.7069794937514953</v>
      </c>
      <c r="D11" s="29">
        <v>3.7554175431158758</v>
      </c>
      <c r="E11" s="29">
        <v>3.610951430868993</v>
      </c>
      <c r="F11" s="12">
        <v>3.74</v>
      </c>
      <c r="G11" s="13">
        <v>2210643</v>
      </c>
      <c r="H11" s="14">
        <v>3.6725433582524598</v>
      </c>
    </row>
    <row r="12" spans="1:8">
      <c r="A12" s="2" t="s">
        <v>12</v>
      </c>
      <c r="B12" s="29">
        <v>2.771916906784039</v>
      </c>
      <c r="C12" s="29">
        <v>3.006009684097251</v>
      </c>
      <c r="D12" s="29">
        <v>2.8148624440555596</v>
      </c>
      <c r="E12" s="29">
        <v>2.9223981697910175</v>
      </c>
      <c r="F12" s="12">
        <v>3.06</v>
      </c>
      <c r="G12" s="13">
        <v>1936246</v>
      </c>
      <c r="H12" s="14">
        <v>3.2166873562320522</v>
      </c>
    </row>
    <row r="13" spans="1:8">
      <c r="A13" s="2" t="s">
        <v>13</v>
      </c>
      <c r="B13" s="29">
        <v>1.1464691115852192</v>
      </c>
      <c r="C13" s="29">
        <v>1.033482789988488</v>
      </c>
      <c r="D13" s="29">
        <v>1.0382154906983352</v>
      </c>
      <c r="E13" s="29">
        <v>1.0159147000234015</v>
      </c>
      <c r="F13" s="12">
        <v>1.06</v>
      </c>
      <c r="G13" s="13">
        <v>665722</v>
      </c>
      <c r="H13" s="14">
        <v>1.1059646037567099</v>
      </c>
    </row>
    <row r="14" spans="1:8">
      <c r="A14" s="2" t="s">
        <v>1</v>
      </c>
      <c r="B14" s="29">
        <v>9.314338813239031</v>
      </c>
      <c r="C14" s="29">
        <v>8.6529620660931421</v>
      </c>
      <c r="D14" s="29">
        <v>9.1138077400994515</v>
      </c>
      <c r="E14" s="29">
        <v>8.8287686834759178</v>
      </c>
      <c r="F14" s="12">
        <v>8.61</v>
      </c>
      <c r="G14" s="13">
        <v>5278732</v>
      </c>
      <c r="H14" s="14">
        <v>8.7695625872629481</v>
      </c>
    </row>
    <row r="15" spans="1:8">
      <c r="A15" s="2" t="s">
        <v>14</v>
      </c>
      <c r="B15" s="29">
        <v>7.3034092127742767</v>
      </c>
      <c r="C15" s="29">
        <v>7.1539031330023759</v>
      </c>
      <c r="D15" s="29">
        <v>6.981679712122971</v>
      </c>
      <c r="E15" s="29">
        <v>7.1013744974624124</v>
      </c>
      <c r="F15" s="12">
        <v>7.14</v>
      </c>
      <c r="G15" s="13">
        <v>4325142</v>
      </c>
      <c r="H15" s="14">
        <v>7.1853625961309735</v>
      </c>
    </row>
    <row r="16" spans="1:8" ht="27">
      <c r="A16" s="2" t="s">
        <v>42</v>
      </c>
      <c r="G16" s="11">
        <f>G9+G5</f>
        <v>3572661</v>
      </c>
      <c r="H16" s="10">
        <f>H9+H5</f>
        <v>5.9352651815953958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32851-2CD1-4ECD-846E-8B98AD56A970}">
  <sheetPr>
    <outlinePr summaryBelow="0" summaryRight="0"/>
  </sheetPr>
  <dimension ref="A1:H16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:H1"/>
    </sheetView>
  </sheetViews>
  <sheetFormatPr defaultRowHeight="15.75"/>
  <cols>
    <col min="1" max="1" width="14.28515625" customWidth="1"/>
    <col min="2" max="5" width="19.28515625" customWidth="1"/>
    <col min="6" max="6" width="17" bestFit="1" customWidth="1"/>
    <col min="7" max="7" width="16.140625" style="1" customWidth="1"/>
    <col min="8" max="8" width="15.5703125" style="1" customWidth="1"/>
  </cols>
  <sheetData>
    <row r="1" spans="1:8">
      <c r="A1" s="2" t="s">
        <v>0</v>
      </c>
      <c r="B1" s="3" t="s">
        <v>25</v>
      </c>
      <c r="C1" s="3" t="s">
        <v>23</v>
      </c>
      <c r="D1" s="3" t="s">
        <v>21</v>
      </c>
      <c r="E1" s="3" t="s">
        <v>20</v>
      </c>
      <c r="F1" s="3" t="s">
        <v>18</v>
      </c>
      <c r="G1" s="3" t="s">
        <v>15</v>
      </c>
      <c r="H1" s="3" t="s">
        <v>16</v>
      </c>
    </row>
    <row r="2" spans="1:8" ht="16.5">
      <c r="A2" s="2" t="s">
        <v>2</v>
      </c>
      <c r="B2" s="22">
        <v>9.33</v>
      </c>
      <c r="C2" s="22">
        <v>9.43</v>
      </c>
      <c r="D2" s="22">
        <v>8.25</v>
      </c>
      <c r="E2" s="21">
        <v>7.68</v>
      </c>
      <c r="F2" s="12">
        <v>7.68</v>
      </c>
      <c r="G2" s="13">
        <v>1088894</v>
      </c>
      <c r="H2" s="14">
        <v>7.1</v>
      </c>
    </row>
    <row r="3" spans="1:8" ht="16.5">
      <c r="A3" s="2" t="s">
        <v>3</v>
      </c>
      <c r="B3" s="22">
        <v>5.0599999999999996</v>
      </c>
      <c r="C3" s="22">
        <v>5.0199999999999996</v>
      </c>
      <c r="D3" s="22">
        <v>5.46</v>
      </c>
      <c r="E3" s="21">
        <v>6.08</v>
      </c>
      <c r="F3" s="12">
        <v>5.0199999999999996</v>
      </c>
      <c r="G3" s="13">
        <v>796469</v>
      </c>
      <c r="H3" s="14">
        <v>5.19</v>
      </c>
    </row>
    <row r="4" spans="1:8" ht="16.5">
      <c r="A4" s="2" t="s">
        <v>4</v>
      </c>
      <c r="B4" s="22">
        <v>8.4</v>
      </c>
      <c r="C4" s="22">
        <v>7.96</v>
      </c>
      <c r="D4" s="22">
        <v>8.35</v>
      </c>
      <c r="E4" s="21">
        <v>9.07</v>
      </c>
      <c r="F4" s="12">
        <v>9.0500000000000007</v>
      </c>
      <c r="G4" s="13">
        <v>1408540</v>
      </c>
      <c r="H4" s="14">
        <v>9.18</v>
      </c>
    </row>
    <row r="5" spans="1:8" ht="16.5">
      <c r="A5" s="2" t="s">
        <v>5</v>
      </c>
      <c r="B5" s="22">
        <v>3.87</v>
      </c>
      <c r="C5" s="22">
        <v>3.81</v>
      </c>
      <c r="D5" s="22">
        <v>4.13</v>
      </c>
      <c r="E5" s="21">
        <v>4.45</v>
      </c>
      <c r="F5" s="12">
        <v>4.5599999999999996</v>
      </c>
      <c r="G5" s="13">
        <v>722028</v>
      </c>
      <c r="H5" s="14">
        <v>4.71</v>
      </c>
    </row>
    <row r="6" spans="1:8" ht="16.5">
      <c r="A6" s="2" t="s">
        <v>6</v>
      </c>
      <c r="B6" s="22">
        <v>6.16</v>
      </c>
      <c r="C6" s="22">
        <v>7.4</v>
      </c>
      <c r="D6" s="22">
        <v>6.65</v>
      </c>
      <c r="E6" s="21">
        <v>7.16</v>
      </c>
      <c r="F6" s="12">
        <v>7.83</v>
      </c>
      <c r="G6" s="13">
        <v>1233201</v>
      </c>
      <c r="H6" s="14">
        <v>8.0399999999999991</v>
      </c>
    </row>
    <row r="7" spans="1:8" ht="16.5">
      <c r="A7" s="2" t="s">
        <v>7</v>
      </c>
      <c r="B7" s="22">
        <v>5.95</v>
      </c>
      <c r="C7" s="22">
        <v>6.92</v>
      </c>
      <c r="D7" s="22">
        <v>6.56</v>
      </c>
      <c r="E7" s="21">
        <v>6.15</v>
      </c>
      <c r="F7" s="12">
        <v>6.5</v>
      </c>
      <c r="G7" s="13">
        <v>1005034</v>
      </c>
      <c r="H7" s="14">
        <v>6.55</v>
      </c>
    </row>
    <row r="8" spans="1:8" ht="16.5">
      <c r="A8" s="2" t="s">
        <v>8</v>
      </c>
      <c r="B8" s="22">
        <v>4.3499999999999996</v>
      </c>
      <c r="C8" s="22">
        <v>5.13</v>
      </c>
      <c r="D8" s="22">
        <v>4.75</v>
      </c>
      <c r="E8" s="21">
        <v>4.7699999999999996</v>
      </c>
      <c r="F8" s="12">
        <v>5</v>
      </c>
      <c r="G8" s="13">
        <v>640638</v>
      </c>
      <c r="H8" s="14">
        <v>4.18</v>
      </c>
    </row>
    <row r="9" spans="1:8" ht="16.5">
      <c r="A9" s="2" t="s">
        <v>9</v>
      </c>
      <c r="B9" s="22">
        <v>1.23</v>
      </c>
      <c r="C9" s="22">
        <v>1.4</v>
      </c>
      <c r="D9" s="22">
        <v>1.45</v>
      </c>
      <c r="E9" s="21">
        <v>1.22</v>
      </c>
      <c r="F9" s="12">
        <v>1.1299999999999999</v>
      </c>
      <c r="G9" s="13">
        <v>174416</v>
      </c>
      <c r="H9" s="14">
        <v>1.1399999999999999</v>
      </c>
    </row>
    <row r="10" spans="1:8" ht="16.5">
      <c r="A10" s="2" t="s">
        <v>10</v>
      </c>
      <c r="B10" s="22">
        <v>7.29</v>
      </c>
      <c r="C10" s="22">
        <v>7.62</v>
      </c>
      <c r="D10" s="22">
        <v>7.27</v>
      </c>
      <c r="E10" s="21">
        <v>6.4</v>
      </c>
      <c r="F10" s="12">
        <v>6.7</v>
      </c>
      <c r="G10" s="13">
        <v>1077583</v>
      </c>
      <c r="H10" s="14">
        <v>7.03</v>
      </c>
    </row>
    <row r="11" spans="1:8" ht="16.5">
      <c r="A11" s="2" t="s">
        <v>11</v>
      </c>
      <c r="B11" s="22">
        <v>4.42</v>
      </c>
      <c r="C11" s="22">
        <v>4.5199999999999996</v>
      </c>
      <c r="D11" s="22">
        <v>4.84</v>
      </c>
      <c r="E11" s="21">
        <v>4.5</v>
      </c>
      <c r="F11" s="12">
        <v>4.75</v>
      </c>
      <c r="G11" s="13">
        <v>675523</v>
      </c>
      <c r="H11" s="14">
        <v>4.4000000000000004</v>
      </c>
    </row>
    <row r="12" spans="1:8" ht="16.5">
      <c r="A12" s="2" t="s">
        <v>12</v>
      </c>
      <c r="B12" s="22">
        <v>1.33</v>
      </c>
      <c r="C12" s="22">
        <v>1.3</v>
      </c>
      <c r="D12" s="22">
        <v>1.32</v>
      </c>
      <c r="E12" s="21">
        <v>1.43</v>
      </c>
      <c r="F12" s="12">
        <v>1.6</v>
      </c>
      <c r="G12" s="13">
        <v>220901</v>
      </c>
      <c r="H12" s="14">
        <v>1.44</v>
      </c>
    </row>
    <row r="13" spans="1:8" ht="16.5">
      <c r="A13" s="2" t="s">
        <v>13</v>
      </c>
      <c r="B13" s="22">
        <v>1.37</v>
      </c>
      <c r="C13" s="22">
        <v>1.34</v>
      </c>
      <c r="D13" s="22">
        <v>1.35</v>
      </c>
      <c r="E13" s="21">
        <v>1.43</v>
      </c>
      <c r="F13" s="12">
        <v>1.38</v>
      </c>
      <c r="G13" s="13">
        <v>174553</v>
      </c>
      <c r="H13" s="14">
        <v>1.1399999999999999</v>
      </c>
    </row>
    <row r="14" spans="1:8" ht="16.5">
      <c r="A14" s="2" t="s">
        <v>1</v>
      </c>
      <c r="B14" s="22">
        <v>6.05</v>
      </c>
      <c r="C14" s="22">
        <v>5.91</v>
      </c>
      <c r="D14" s="22">
        <v>5.95</v>
      </c>
      <c r="E14" s="21">
        <v>5.99</v>
      </c>
      <c r="F14" s="12">
        <v>6.84</v>
      </c>
      <c r="G14" s="13">
        <v>1061179</v>
      </c>
      <c r="H14" s="14">
        <v>6.92</v>
      </c>
    </row>
    <row r="15" spans="1:8" ht="17.25" thickBot="1">
      <c r="A15" s="2" t="s">
        <v>14</v>
      </c>
      <c r="B15" s="20">
        <v>4.2699999999999996</v>
      </c>
      <c r="C15" s="20">
        <v>4.6100000000000003</v>
      </c>
      <c r="D15" s="20">
        <v>3.8</v>
      </c>
      <c r="E15" s="19">
        <v>4.47</v>
      </c>
      <c r="F15" s="12">
        <v>4.57</v>
      </c>
      <c r="G15" s="13">
        <v>662380</v>
      </c>
      <c r="H15" s="14">
        <v>4.32</v>
      </c>
    </row>
    <row r="16" spans="1:8" ht="27">
      <c r="A16" s="2" t="s">
        <v>42</v>
      </c>
      <c r="G16" s="11">
        <f>G9+G5</f>
        <v>896444</v>
      </c>
      <c r="H16" s="10">
        <f>H9+H5</f>
        <v>5.85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DCFC3-2D88-4959-9BEF-2712A481CFDE}">
  <sheetPr>
    <outlinePr summaryBelow="0" summaryRight="0"/>
  </sheetPr>
  <dimension ref="A1:H16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:H1"/>
    </sheetView>
  </sheetViews>
  <sheetFormatPr defaultRowHeight="15.75"/>
  <cols>
    <col min="1" max="1" width="14.28515625" customWidth="1"/>
    <col min="2" max="5" width="19.28515625" customWidth="1"/>
    <col min="6" max="6" width="17" bestFit="1" customWidth="1"/>
    <col min="7" max="7" width="16.140625" style="1" customWidth="1"/>
    <col min="8" max="8" width="15.5703125" style="1" customWidth="1"/>
  </cols>
  <sheetData>
    <row r="1" spans="1:8">
      <c r="A1" s="2" t="s">
        <v>0</v>
      </c>
      <c r="B1" s="3" t="s">
        <v>25</v>
      </c>
      <c r="C1" s="3" t="s">
        <v>23</v>
      </c>
      <c r="D1" s="3" t="s">
        <v>21</v>
      </c>
      <c r="E1" s="3" t="s">
        <v>20</v>
      </c>
      <c r="F1" s="3" t="s">
        <v>18</v>
      </c>
      <c r="G1" s="3" t="s">
        <v>15</v>
      </c>
      <c r="H1" s="3" t="s">
        <v>16</v>
      </c>
    </row>
    <row r="2" spans="1:8">
      <c r="A2" s="2" t="s">
        <v>2</v>
      </c>
      <c r="B2" s="29">
        <v>6.0106863982529273</v>
      </c>
      <c r="C2" s="29">
        <v>6.2600000000000007</v>
      </c>
      <c r="D2" s="29">
        <v>5.89</v>
      </c>
      <c r="E2" s="29">
        <v>6.21</v>
      </c>
      <c r="F2" s="12">
        <v>6.26</v>
      </c>
      <c r="G2" s="13">
        <v>1099318</v>
      </c>
      <c r="H2" s="14">
        <v>6.417840896897407</v>
      </c>
    </row>
    <row r="3" spans="1:8">
      <c r="A3" s="2" t="s">
        <v>3</v>
      </c>
      <c r="B3" s="29">
        <v>2.5610255631894239</v>
      </c>
      <c r="C3" s="29">
        <v>2.8219304534555696</v>
      </c>
      <c r="D3" s="29">
        <v>2.7696088186528605</v>
      </c>
      <c r="E3" s="29">
        <v>3.0900332902369798</v>
      </c>
      <c r="F3" s="12">
        <v>3.05</v>
      </c>
      <c r="G3" s="13">
        <v>521557</v>
      </c>
      <c r="H3" s="14">
        <v>3.044860399505076</v>
      </c>
    </row>
    <row r="4" spans="1:8">
      <c r="A4" s="2" t="s">
        <v>4</v>
      </c>
      <c r="B4" s="29">
        <v>3.2234666425755072</v>
      </c>
      <c r="C4" s="29">
        <v>3.308240091473031</v>
      </c>
      <c r="D4" s="29">
        <v>4.1118398657657664</v>
      </c>
      <c r="E4" s="29">
        <v>3.9526917064323479</v>
      </c>
      <c r="F4" s="12">
        <v>3.74</v>
      </c>
      <c r="G4" s="13">
        <v>717902</v>
      </c>
      <c r="H4" s="14">
        <v>4.1911265125872976</v>
      </c>
    </row>
    <row r="5" spans="1:8">
      <c r="A5" s="2" t="s">
        <v>5</v>
      </c>
      <c r="B5" s="29">
        <v>2.8181049802286391</v>
      </c>
      <c r="C5" s="29">
        <v>2.5849999019140042</v>
      </c>
      <c r="D5" s="29">
        <v>2.3838333425853286</v>
      </c>
      <c r="E5" s="29">
        <v>2.5759144415735387</v>
      </c>
      <c r="F5" s="12">
        <v>2.52</v>
      </c>
      <c r="G5" s="13">
        <v>526639</v>
      </c>
      <c r="H5" s="14">
        <v>3.0745292191169016</v>
      </c>
    </row>
    <row r="6" spans="1:8">
      <c r="A6" s="2" t="s">
        <v>6</v>
      </c>
      <c r="B6" s="29">
        <v>3.1598246009855635</v>
      </c>
      <c r="C6" s="29">
        <v>3.2583219768711036</v>
      </c>
      <c r="D6" s="29">
        <v>2.9916501614560476</v>
      </c>
      <c r="E6" s="29">
        <v>3.6179250478548344</v>
      </c>
      <c r="F6" s="12">
        <v>3.41</v>
      </c>
      <c r="G6" s="13">
        <v>615679</v>
      </c>
      <c r="H6" s="14">
        <v>3.5943465544645852</v>
      </c>
    </row>
    <row r="7" spans="1:8">
      <c r="A7" s="2" t="s">
        <v>7</v>
      </c>
      <c r="B7" s="29">
        <v>6.8942359926504064</v>
      </c>
      <c r="C7" s="29">
        <v>7.126286704126036</v>
      </c>
      <c r="D7" s="29">
        <v>7.340299649436659</v>
      </c>
      <c r="E7" s="29">
        <v>7.2861097993803332</v>
      </c>
      <c r="F7" s="12">
        <v>7.5</v>
      </c>
      <c r="G7" s="13">
        <v>1259534</v>
      </c>
      <c r="H7" s="14">
        <v>7.3531851713815097</v>
      </c>
    </row>
    <row r="8" spans="1:8">
      <c r="A8" s="2" t="s">
        <v>8</v>
      </c>
      <c r="B8" s="29">
        <v>6.741397169852072</v>
      </c>
      <c r="C8" s="29">
        <v>6.9201602601196859</v>
      </c>
      <c r="D8" s="29">
        <v>6.268237777677693</v>
      </c>
      <c r="E8" s="29">
        <v>6.9170186674279392</v>
      </c>
      <c r="F8" s="12">
        <v>6.82</v>
      </c>
      <c r="G8" s="13">
        <v>1151378</v>
      </c>
      <c r="H8" s="14">
        <v>6.721768238296784</v>
      </c>
    </row>
    <row r="9" spans="1:8">
      <c r="A9" s="2" t="s">
        <v>9</v>
      </c>
      <c r="B9" s="29">
        <v>1.4536271896743689</v>
      </c>
      <c r="C9" s="29">
        <v>1.4347684007322685</v>
      </c>
      <c r="D9" s="29">
        <v>1.4033269477108643</v>
      </c>
      <c r="E9" s="29">
        <v>1.463149637265839</v>
      </c>
      <c r="F9" s="12">
        <v>1.47</v>
      </c>
      <c r="G9" s="13">
        <v>257989</v>
      </c>
      <c r="H9" s="14">
        <v>1.5061450418802069</v>
      </c>
    </row>
    <row r="10" spans="1:8">
      <c r="A10" s="2" t="s">
        <v>10</v>
      </c>
      <c r="B10" s="29">
        <v>4.3633533346289699</v>
      </c>
      <c r="C10" s="29">
        <v>4.4845063142221706</v>
      </c>
      <c r="D10" s="29">
        <v>4.2246967527591019</v>
      </c>
      <c r="E10" s="29">
        <v>4.4510338527575843</v>
      </c>
      <c r="F10" s="12">
        <v>4.4000000000000004</v>
      </c>
      <c r="G10" s="13">
        <v>814584</v>
      </c>
      <c r="H10" s="14">
        <v>4.7555579997400912</v>
      </c>
    </row>
    <row r="11" spans="1:8">
      <c r="A11" s="2" t="s">
        <v>11</v>
      </c>
      <c r="B11" s="29">
        <v>2.5207034060535198</v>
      </c>
      <c r="C11" s="29">
        <v>2.400714911995713</v>
      </c>
      <c r="D11" s="29">
        <v>2.6443402925795159</v>
      </c>
      <c r="E11" s="29">
        <v>2.7246897592017394</v>
      </c>
      <c r="F11" s="12">
        <v>3.04</v>
      </c>
      <c r="G11" s="13">
        <v>524370</v>
      </c>
      <c r="H11" s="14">
        <v>3.0612827508565252</v>
      </c>
    </row>
    <row r="12" spans="1:8">
      <c r="A12" s="2" t="s">
        <v>12</v>
      </c>
      <c r="B12" s="29">
        <v>2.034807987640856</v>
      </c>
      <c r="C12" s="29">
        <v>2.2342677173025955</v>
      </c>
      <c r="D12" s="29">
        <v>2.5663485900482743</v>
      </c>
      <c r="E12" s="29">
        <v>2.6816906359881671</v>
      </c>
      <c r="F12" s="12">
        <v>2.87</v>
      </c>
      <c r="G12" s="13">
        <v>491353</v>
      </c>
      <c r="H12" s="14">
        <v>2.8685288317058686</v>
      </c>
    </row>
    <row r="13" spans="1:8">
      <c r="A13" s="2" t="s">
        <v>13</v>
      </c>
      <c r="B13" s="29">
        <v>1.1626616824921525</v>
      </c>
      <c r="C13" s="29">
        <v>1.0887035051413469</v>
      </c>
      <c r="D13" s="29">
        <v>1.0247915944400046</v>
      </c>
      <c r="E13" s="29">
        <v>1.0074451704108962</v>
      </c>
      <c r="F13" s="12">
        <v>1.1000000000000001</v>
      </c>
      <c r="G13" s="13">
        <v>196980</v>
      </c>
      <c r="H13" s="14">
        <v>1.1499732560286027</v>
      </c>
    </row>
    <row r="14" spans="1:8">
      <c r="A14" s="2" t="s">
        <v>1</v>
      </c>
      <c r="B14" s="29">
        <v>7.4665800311505643</v>
      </c>
      <c r="C14" s="29">
        <v>7.1598401365998825</v>
      </c>
      <c r="D14" s="29">
        <v>9.2728494609578025</v>
      </c>
      <c r="E14" s="29">
        <v>8.1366883852082257</v>
      </c>
      <c r="F14" s="12">
        <v>7.72</v>
      </c>
      <c r="G14" s="13">
        <v>1245135</v>
      </c>
      <c r="H14" s="14">
        <v>7.2691235158146723</v>
      </c>
    </row>
    <row r="15" spans="1:8">
      <c r="A15" s="2" t="s">
        <v>14</v>
      </c>
      <c r="B15" s="29">
        <v>7.9308218352140996</v>
      </c>
      <c r="C15" s="29">
        <v>7.820254240359696</v>
      </c>
      <c r="D15" s="29">
        <v>7.5173422543516679</v>
      </c>
      <c r="E15" s="29">
        <v>7.9090676025988182</v>
      </c>
      <c r="F15" s="12">
        <v>8.15</v>
      </c>
      <c r="G15" s="13">
        <v>1341570</v>
      </c>
      <c r="H15" s="14">
        <v>7.8321130119316296</v>
      </c>
    </row>
    <row r="16" spans="1:8" ht="27">
      <c r="A16" s="2" t="s">
        <v>42</v>
      </c>
      <c r="B16" s="29">
        <v>0</v>
      </c>
      <c r="C16" s="29">
        <v>0</v>
      </c>
      <c r="D16" s="29">
        <v>0</v>
      </c>
      <c r="E16" s="29">
        <v>0</v>
      </c>
      <c r="F16" s="29">
        <v>0</v>
      </c>
      <c r="G16" s="11">
        <f>G9+G5</f>
        <v>784628</v>
      </c>
      <c r="H16" s="10">
        <f>H9+H5</f>
        <v>4.5806742609971085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3DFEB-8A38-49BB-8B7F-D2882D9D7FA7}">
  <sheetPr>
    <outlinePr summaryBelow="0" summaryRight="0"/>
  </sheetPr>
  <dimension ref="A1:H16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:H1"/>
    </sheetView>
  </sheetViews>
  <sheetFormatPr defaultRowHeight="15.75"/>
  <cols>
    <col min="1" max="1" width="14.28515625" customWidth="1"/>
    <col min="2" max="5" width="19.28515625" customWidth="1"/>
    <col min="6" max="6" width="17" bestFit="1" customWidth="1"/>
    <col min="7" max="7" width="16.140625" style="1" customWidth="1"/>
    <col min="8" max="8" width="15.5703125" style="1" customWidth="1"/>
  </cols>
  <sheetData>
    <row r="1" spans="1:8">
      <c r="A1" s="2" t="s">
        <v>0</v>
      </c>
      <c r="B1" s="3" t="s">
        <v>25</v>
      </c>
      <c r="C1" s="3" t="s">
        <v>23</v>
      </c>
      <c r="D1" s="3" t="s">
        <v>21</v>
      </c>
      <c r="E1" s="3" t="s">
        <v>20</v>
      </c>
      <c r="F1" s="3" t="s">
        <v>18</v>
      </c>
      <c r="G1" s="3" t="s">
        <v>15</v>
      </c>
      <c r="H1" s="3" t="s">
        <v>16</v>
      </c>
    </row>
    <row r="2" spans="1:8">
      <c r="A2" s="2" t="s">
        <v>2</v>
      </c>
      <c r="B2" s="15">
        <v>6.78</v>
      </c>
      <c r="C2" s="12">
        <v>6.81</v>
      </c>
      <c r="D2" s="12">
        <v>6.6</v>
      </c>
      <c r="E2" s="12">
        <v>6.55</v>
      </c>
      <c r="F2" s="12">
        <v>6.74</v>
      </c>
      <c r="G2" s="13">
        <v>714950</v>
      </c>
      <c r="H2" s="14">
        <v>6.67</v>
      </c>
    </row>
    <row r="3" spans="1:8">
      <c r="A3" s="2" t="s">
        <v>3</v>
      </c>
      <c r="B3" s="15">
        <v>2.9</v>
      </c>
      <c r="C3" s="12">
        <v>3.08</v>
      </c>
      <c r="D3" s="12">
        <v>3.23</v>
      </c>
      <c r="E3" s="12">
        <v>3.27</v>
      </c>
      <c r="F3" s="12">
        <v>3.19</v>
      </c>
      <c r="G3" s="13">
        <v>350924</v>
      </c>
      <c r="H3" s="14">
        <v>3.27</v>
      </c>
    </row>
    <row r="4" spans="1:8">
      <c r="A4" s="2" t="s">
        <v>4</v>
      </c>
      <c r="B4" s="15">
        <v>3.05</v>
      </c>
      <c r="C4" s="12">
        <v>3.12</v>
      </c>
      <c r="D4" s="12">
        <v>3.46</v>
      </c>
      <c r="E4" s="12">
        <v>3.49</v>
      </c>
      <c r="F4" s="12">
        <v>3.75</v>
      </c>
      <c r="G4" s="13">
        <v>435585</v>
      </c>
      <c r="H4" s="14">
        <v>4.0599999999999996</v>
      </c>
    </row>
    <row r="5" spans="1:8">
      <c r="A5" s="2" t="s">
        <v>5</v>
      </c>
      <c r="B5" s="15">
        <v>2.66</v>
      </c>
      <c r="C5" s="12">
        <v>2.64</v>
      </c>
      <c r="D5" s="12">
        <v>2.73</v>
      </c>
      <c r="E5" s="12">
        <v>2.84</v>
      </c>
      <c r="F5" s="12">
        <v>2.9</v>
      </c>
      <c r="G5" s="13">
        <v>335989</v>
      </c>
      <c r="H5" s="14">
        <v>3.13</v>
      </c>
    </row>
    <row r="6" spans="1:8">
      <c r="A6" s="2" t="s">
        <v>6</v>
      </c>
      <c r="B6" s="15">
        <v>2.62</v>
      </c>
      <c r="C6" s="12">
        <v>2.92</v>
      </c>
      <c r="D6" s="12">
        <v>2.88</v>
      </c>
      <c r="E6" s="12">
        <v>3.46</v>
      </c>
      <c r="F6" s="12">
        <v>3.72</v>
      </c>
      <c r="G6" s="13">
        <v>420629</v>
      </c>
      <c r="H6" s="14">
        <v>3.92</v>
      </c>
    </row>
    <row r="7" spans="1:8">
      <c r="A7" s="2" t="s">
        <v>7</v>
      </c>
      <c r="B7" s="15">
        <v>10.06</v>
      </c>
      <c r="C7" s="12">
        <v>9.89</v>
      </c>
      <c r="D7" s="12">
        <v>9.8699999999999992</v>
      </c>
      <c r="E7" s="12">
        <v>9.34</v>
      </c>
      <c r="F7" s="12">
        <v>9.14</v>
      </c>
      <c r="G7" s="13">
        <v>978345</v>
      </c>
      <c r="H7" s="14">
        <v>9.1199999999999992</v>
      </c>
    </row>
    <row r="8" spans="1:8">
      <c r="A8" s="2" t="s">
        <v>8</v>
      </c>
      <c r="B8" s="15">
        <v>7.61</v>
      </c>
      <c r="C8" s="12">
        <v>7.9</v>
      </c>
      <c r="D8" s="12">
        <v>7.36</v>
      </c>
      <c r="E8" s="12">
        <v>7.7</v>
      </c>
      <c r="F8" s="12">
        <v>7.5</v>
      </c>
      <c r="G8" s="13">
        <v>779400</v>
      </c>
      <c r="H8" s="14">
        <v>7.27</v>
      </c>
    </row>
    <row r="9" spans="1:8">
      <c r="A9" s="2" t="s">
        <v>9</v>
      </c>
      <c r="B9" s="15">
        <v>1.82</v>
      </c>
      <c r="C9" s="12">
        <v>1.8</v>
      </c>
      <c r="D9" s="12">
        <v>1.74</v>
      </c>
      <c r="E9" s="12">
        <v>1.83</v>
      </c>
      <c r="F9" s="12">
        <v>1.93</v>
      </c>
      <c r="G9" s="13">
        <v>213801</v>
      </c>
      <c r="H9" s="14">
        <v>1.99</v>
      </c>
    </row>
    <row r="10" spans="1:8">
      <c r="A10" s="2" t="s">
        <v>10</v>
      </c>
      <c r="B10" s="15">
        <v>5.46</v>
      </c>
      <c r="C10" s="12">
        <v>5.36</v>
      </c>
      <c r="D10" s="12">
        <v>5.38</v>
      </c>
      <c r="E10" s="12">
        <v>5.64</v>
      </c>
      <c r="F10" s="12">
        <v>5.76</v>
      </c>
      <c r="G10" s="13">
        <v>633780</v>
      </c>
      <c r="H10" s="14">
        <v>5.91</v>
      </c>
    </row>
    <row r="11" spans="1:8">
      <c r="A11" s="2" t="s">
        <v>11</v>
      </c>
      <c r="B11" s="15">
        <v>2.86</v>
      </c>
      <c r="C11" s="12">
        <v>2.92</v>
      </c>
      <c r="D11" s="12">
        <v>3.22</v>
      </c>
      <c r="E11" s="12">
        <v>3.28</v>
      </c>
      <c r="F11" s="12">
        <v>3.81</v>
      </c>
      <c r="G11" s="13">
        <v>419827</v>
      </c>
      <c r="H11" s="14">
        <v>3.92</v>
      </c>
    </row>
    <row r="12" spans="1:8">
      <c r="A12" s="2" t="s">
        <v>12</v>
      </c>
      <c r="B12" s="16">
        <v>1.89</v>
      </c>
      <c r="C12" s="12">
        <v>1.94</v>
      </c>
      <c r="D12" s="12">
        <v>1.83</v>
      </c>
      <c r="E12" s="12">
        <v>1.9</v>
      </c>
      <c r="F12" s="12">
        <v>2.16</v>
      </c>
      <c r="G12" s="13">
        <v>240355</v>
      </c>
      <c r="H12" s="14">
        <v>2.2400000000000002</v>
      </c>
    </row>
    <row r="13" spans="1:8">
      <c r="A13" s="2" t="s">
        <v>13</v>
      </c>
      <c r="B13" s="17">
        <v>0.49</v>
      </c>
      <c r="C13" s="12">
        <v>0.51</v>
      </c>
      <c r="D13" s="12">
        <v>0.57999999999999996</v>
      </c>
      <c r="E13" s="12">
        <v>0.62</v>
      </c>
      <c r="F13" s="12">
        <v>0.68</v>
      </c>
      <c r="G13" s="13">
        <v>77805</v>
      </c>
      <c r="H13" s="14">
        <v>0.73</v>
      </c>
    </row>
    <row r="14" spans="1:8">
      <c r="A14" s="2" t="s">
        <v>1</v>
      </c>
      <c r="B14" s="17">
        <v>5.27</v>
      </c>
      <c r="C14" s="12">
        <v>4.95</v>
      </c>
      <c r="D14" s="12">
        <v>4.8600000000000003</v>
      </c>
      <c r="E14" s="12">
        <v>4.62</v>
      </c>
      <c r="F14" s="12">
        <v>4.24</v>
      </c>
      <c r="G14" s="13">
        <v>429473</v>
      </c>
      <c r="H14" s="14">
        <v>4.01</v>
      </c>
    </row>
    <row r="15" spans="1:8" ht="16.5" thickBot="1">
      <c r="A15" s="2" t="s">
        <v>14</v>
      </c>
      <c r="B15" s="18">
        <v>9.69</v>
      </c>
      <c r="C15" s="12">
        <v>9.41</v>
      </c>
      <c r="D15" s="12">
        <v>8.81</v>
      </c>
      <c r="E15" s="12">
        <v>8.3800000000000008</v>
      </c>
      <c r="F15" s="12">
        <v>7.97</v>
      </c>
      <c r="G15" s="13">
        <v>843464</v>
      </c>
      <c r="H15" s="14">
        <v>7.87</v>
      </c>
    </row>
    <row r="16" spans="1:8" ht="27">
      <c r="A16" s="2" t="s">
        <v>42</v>
      </c>
      <c r="G16" s="11">
        <f>G9+G5</f>
        <v>549790</v>
      </c>
      <c r="H16" s="10">
        <f>H9+H5</f>
        <v>5.12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67769-B1FF-4FB5-8586-9F7CE1530530}">
  <sheetPr>
    <outlinePr summaryBelow="0" summaryRight="0"/>
  </sheetPr>
  <dimension ref="A1:H1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:H1"/>
    </sheetView>
  </sheetViews>
  <sheetFormatPr defaultRowHeight="15.75"/>
  <cols>
    <col min="1" max="1" width="14.28515625" customWidth="1"/>
    <col min="2" max="5" width="19.28515625" customWidth="1"/>
    <col min="6" max="6" width="17" bestFit="1" customWidth="1"/>
    <col min="7" max="7" width="16.140625" style="1" hidden="1" customWidth="1"/>
    <col min="8" max="8" width="15.5703125" style="1" customWidth="1"/>
  </cols>
  <sheetData>
    <row r="1" spans="1:8">
      <c r="A1" s="2" t="s">
        <v>0</v>
      </c>
      <c r="B1" s="3" t="s">
        <v>25</v>
      </c>
      <c r="C1" s="3" t="s">
        <v>23</v>
      </c>
      <c r="D1" s="3" t="s">
        <v>21</v>
      </c>
      <c r="E1" s="3" t="s">
        <v>20</v>
      </c>
      <c r="F1" s="3" t="s">
        <v>18</v>
      </c>
      <c r="G1" s="3" t="s">
        <v>15</v>
      </c>
      <c r="H1" s="3" t="s">
        <v>16</v>
      </c>
    </row>
    <row r="2" spans="1:8">
      <c r="A2" s="2" t="s">
        <v>2</v>
      </c>
      <c r="B2" s="29">
        <v>3.7409703322472185</v>
      </c>
      <c r="C2" s="29">
        <v>4.0886536173437742</v>
      </c>
      <c r="D2" s="29">
        <v>3.6627138899122937</v>
      </c>
      <c r="E2" s="29">
        <v>3.4212056349897004</v>
      </c>
      <c r="F2" s="12">
        <v>3.49</v>
      </c>
      <c r="G2" s="13">
        <v>444908</v>
      </c>
      <c r="H2" s="14">
        <v>3.4156947005785541</v>
      </c>
    </row>
    <row r="3" spans="1:8">
      <c r="A3" s="2" t="s">
        <v>3</v>
      </c>
      <c r="B3" s="29">
        <v>5.5649008944403393</v>
      </c>
      <c r="C3" s="29">
        <v>5.7477187319730003</v>
      </c>
      <c r="D3" s="29">
        <v>6.1924403259075946</v>
      </c>
      <c r="E3" s="29">
        <v>6.0169184631145285</v>
      </c>
      <c r="F3" s="12">
        <v>5.71</v>
      </c>
      <c r="G3" s="13">
        <v>703473</v>
      </c>
      <c r="H3" s="14">
        <v>5.4007772350690413</v>
      </c>
    </row>
    <row r="4" spans="1:8">
      <c r="A4" s="2" t="s">
        <v>4</v>
      </c>
      <c r="B4" s="29">
        <v>8.2916311509017326</v>
      </c>
      <c r="C4" s="29">
        <v>8.2075656038110569</v>
      </c>
      <c r="D4" s="29">
        <v>8.6770799344931078</v>
      </c>
      <c r="E4" s="29">
        <v>9.2556106867075716</v>
      </c>
      <c r="F4" s="12">
        <v>8.57</v>
      </c>
      <c r="G4" s="13">
        <v>1129190</v>
      </c>
      <c r="H4" s="14">
        <v>8.6691367629853762</v>
      </c>
    </row>
    <row r="5" spans="1:8">
      <c r="A5" s="2" t="s">
        <v>5</v>
      </c>
      <c r="B5" s="29">
        <v>4.9422138392935286</v>
      </c>
      <c r="C5" s="29">
        <v>4.9632284464073324</v>
      </c>
      <c r="D5" s="29">
        <v>5.2088293235491925</v>
      </c>
      <c r="E5" s="29">
        <v>5.3489476046749873</v>
      </c>
      <c r="F5" s="12">
        <v>5.12</v>
      </c>
      <c r="G5" s="13">
        <v>648501</v>
      </c>
      <c r="H5" s="14">
        <v>4.9787403890689603</v>
      </c>
    </row>
    <row r="6" spans="1:8">
      <c r="A6" s="2" t="s">
        <v>6</v>
      </c>
      <c r="B6" s="29">
        <v>5.190257532834071</v>
      </c>
      <c r="C6" s="29">
        <v>5.5191420901306456</v>
      </c>
      <c r="D6" s="29">
        <v>5.6453159806146802</v>
      </c>
      <c r="E6" s="29">
        <v>6.1262216901113673</v>
      </c>
      <c r="F6" s="12">
        <v>5.95</v>
      </c>
      <c r="G6" s="13">
        <v>759400</v>
      </c>
      <c r="H6" s="14">
        <v>5.8301459079615423</v>
      </c>
    </row>
    <row r="7" spans="1:8">
      <c r="A7" s="2" t="s">
        <v>7</v>
      </c>
      <c r="B7" s="29">
        <v>4.6680842915738658</v>
      </c>
      <c r="C7" s="29">
        <v>4.6451508361707239</v>
      </c>
      <c r="D7" s="29">
        <v>4.8747819169761151</v>
      </c>
      <c r="E7" s="29">
        <v>5.0157022807635965</v>
      </c>
      <c r="F7" s="12">
        <v>5.32</v>
      </c>
      <c r="G7" s="13">
        <v>706985</v>
      </c>
      <c r="H7" s="14">
        <v>5.427739932499593</v>
      </c>
    </row>
    <row r="8" spans="1:8">
      <c r="A8" s="2" t="s">
        <v>8</v>
      </c>
      <c r="B8" s="29">
        <v>5.2686742201427563</v>
      </c>
      <c r="C8" s="29">
        <v>5.3491563886933102</v>
      </c>
      <c r="D8" s="29">
        <v>5.1002618553531764</v>
      </c>
      <c r="E8" s="29">
        <v>5.1738094287350878</v>
      </c>
      <c r="F8" s="12">
        <v>5.49</v>
      </c>
      <c r="G8" s="13">
        <v>682562</v>
      </c>
      <c r="H8" s="14">
        <v>5.2402370966948197</v>
      </c>
    </row>
    <row r="9" spans="1:8">
      <c r="A9" s="2" t="s">
        <v>9</v>
      </c>
      <c r="B9" s="29">
        <v>2.4613419628464874</v>
      </c>
      <c r="C9" s="29">
        <v>2.6065965578989663</v>
      </c>
      <c r="D9" s="29">
        <v>2.5364409106989521</v>
      </c>
      <c r="E9" s="29">
        <v>2.5399553596016786</v>
      </c>
      <c r="F9" s="12">
        <v>2.2200000000000002</v>
      </c>
      <c r="G9" s="13">
        <v>277498</v>
      </c>
      <c r="H9" s="14">
        <v>2.1304369622959074</v>
      </c>
    </row>
    <row r="10" spans="1:8">
      <c r="A10" s="2" t="s">
        <v>10</v>
      </c>
      <c r="B10" s="29">
        <v>5.0197924694732388</v>
      </c>
      <c r="C10" s="29">
        <v>5.0419235491325978</v>
      </c>
      <c r="D10" s="29">
        <v>5.1470158511068442</v>
      </c>
      <c r="E10" s="29">
        <v>5.168327485927672</v>
      </c>
      <c r="F10" s="12">
        <v>5.13</v>
      </c>
      <c r="G10" s="13">
        <v>667542</v>
      </c>
      <c r="H10" s="14">
        <v>5.1249239658842027</v>
      </c>
    </row>
    <row r="11" spans="1:8">
      <c r="A11" s="2" t="s">
        <v>11</v>
      </c>
      <c r="B11" s="29">
        <v>3.381401390644418</v>
      </c>
      <c r="C11" s="29">
        <v>3.4482966561243824</v>
      </c>
      <c r="D11" s="29">
        <v>3.3838112824060427</v>
      </c>
      <c r="E11" s="29">
        <v>3.4935122024432426</v>
      </c>
      <c r="F11" s="12">
        <v>3.25</v>
      </c>
      <c r="G11" s="13">
        <v>405151</v>
      </c>
      <c r="H11" s="14">
        <v>3.1104680599901591</v>
      </c>
    </row>
    <row r="12" spans="1:8">
      <c r="A12" s="2" t="s">
        <v>12</v>
      </c>
      <c r="B12" s="29">
        <v>2.9211807270198635</v>
      </c>
      <c r="C12" s="29">
        <v>3.151295833380749</v>
      </c>
      <c r="D12" s="29">
        <v>3.1251070606045004</v>
      </c>
      <c r="E12" s="29">
        <v>3.2032360157962572</v>
      </c>
      <c r="F12" s="12">
        <v>3.33</v>
      </c>
      <c r="G12" s="13">
        <v>425365</v>
      </c>
      <c r="H12" s="14">
        <v>3.2656571163287613</v>
      </c>
    </row>
    <row r="13" spans="1:8">
      <c r="A13" s="2" t="s">
        <v>13</v>
      </c>
      <c r="B13" s="29">
        <v>1.0372707343555154</v>
      </c>
      <c r="C13" s="29">
        <v>1.0201962699241052</v>
      </c>
      <c r="D13" s="29">
        <v>1.0007406990784955</v>
      </c>
      <c r="E13" s="29">
        <v>0.98786846917306492</v>
      </c>
      <c r="F13" s="12">
        <v>1.02</v>
      </c>
      <c r="G13" s="13">
        <v>144586</v>
      </c>
      <c r="H13" s="14">
        <v>1.1100309142066469</v>
      </c>
    </row>
    <row r="14" spans="1:8">
      <c r="A14" s="2" t="s">
        <v>1</v>
      </c>
      <c r="B14" s="29">
        <v>9.5229704563645399</v>
      </c>
      <c r="C14" s="29">
        <v>9.5874970201196277</v>
      </c>
      <c r="D14" s="29">
        <v>9.4613543965702505</v>
      </c>
      <c r="E14" s="29">
        <v>9.3243630275057559</v>
      </c>
      <c r="F14" s="12">
        <v>9.75</v>
      </c>
      <c r="G14" s="13">
        <v>1289735</v>
      </c>
      <c r="H14" s="14">
        <v>9.901689798004714</v>
      </c>
    </row>
    <row r="15" spans="1:8">
      <c r="A15" s="2" t="s">
        <v>14</v>
      </c>
      <c r="B15" s="29">
        <v>6.5130405402179905</v>
      </c>
      <c r="C15" s="29">
        <v>6.4628511164715725</v>
      </c>
      <c r="D15" s="29">
        <v>6.3293862970120864</v>
      </c>
      <c r="E15" s="29">
        <v>6.3456284905431755</v>
      </c>
      <c r="F15" s="12">
        <v>6.82</v>
      </c>
      <c r="G15" s="13">
        <v>923909</v>
      </c>
      <c r="H15" s="14">
        <v>7.0931317825636571</v>
      </c>
    </row>
    <row r="16" spans="1:8" ht="27">
      <c r="A16" s="2" t="s">
        <v>42</v>
      </c>
      <c r="B16" s="29">
        <v>7.4035558021400156</v>
      </c>
      <c r="C16" s="29">
        <v>7.5698250043062982</v>
      </c>
      <c r="D16" s="29">
        <v>7.7452702342481441</v>
      </c>
      <c r="E16" s="29">
        <v>7.8889029642766655</v>
      </c>
      <c r="F16" s="10">
        <f t="shared" ref="F16:G16" si="0">F9+F5</f>
        <v>7.34</v>
      </c>
      <c r="G16" s="10">
        <f t="shared" si="0"/>
        <v>925999</v>
      </c>
      <c r="H16" s="10">
        <f>H9+H5</f>
        <v>7.1091773513648677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F390-D447-403C-898F-274DF6F011A8}">
  <sheetPr>
    <outlinePr summaryBelow="0" summaryRight="0"/>
  </sheetPr>
  <dimension ref="A1:L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5" sqref="H15"/>
    </sheetView>
  </sheetViews>
  <sheetFormatPr defaultRowHeight="15.75"/>
  <cols>
    <col min="1" max="1" width="14.28515625" customWidth="1"/>
    <col min="2" max="6" width="19.28515625" customWidth="1"/>
    <col min="7" max="7" width="18.140625" bestFit="1" customWidth="1"/>
    <col min="8" max="8" width="19.28515625" customWidth="1"/>
    <col min="9" max="9" width="14.85546875" bestFit="1" customWidth="1"/>
    <col min="10" max="10" width="17" bestFit="1" customWidth="1"/>
    <col min="11" max="11" width="16.140625" style="1" customWidth="1"/>
    <col min="12" max="12" width="15.5703125" style="1" customWidth="1"/>
  </cols>
  <sheetData>
    <row r="1" spans="1:12">
      <c r="A1" s="2" t="s">
        <v>0</v>
      </c>
      <c r="B1" s="3" t="s">
        <v>24</v>
      </c>
      <c r="C1" s="3" t="s">
        <v>25</v>
      </c>
      <c r="D1" s="3" t="s">
        <v>23</v>
      </c>
      <c r="E1" s="3" t="s">
        <v>22</v>
      </c>
      <c r="F1" s="3" t="s">
        <v>21</v>
      </c>
      <c r="G1" s="3" t="s">
        <v>19</v>
      </c>
      <c r="H1" s="3" t="s">
        <v>20</v>
      </c>
      <c r="I1" s="3" t="s">
        <v>17</v>
      </c>
      <c r="J1" s="3" t="s">
        <v>18</v>
      </c>
      <c r="K1" s="3" t="s">
        <v>15</v>
      </c>
      <c r="L1" s="3" t="s">
        <v>16</v>
      </c>
    </row>
    <row r="2" spans="1:12">
      <c r="A2" s="2" t="s">
        <v>2</v>
      </c>
      <c r="B2" s="9">
        <v>622786</v>
      </c>
      <c r="C2" s="9"/>
      <c r="D2" s="29">
        <v>5.6071299663447594</v>
      </c>
      <c r="E2" s="29">
        <v>67251100</v>
      </c>
      <c r="F2" s="29">
        <v>5.3731750878589644</v>
      </c>
      <c r="G2" s="29">
        <v>70545500</v>
      </c>
      <c r="H2" s="29">
        <v>4.8618063145074668</v>
      </c>
      <c r="I2" s="9">
        <v>861489</v>
      </c>
      <c r="J2" s="8">
        <v>4.6117736363777491</v>
      </c>
      <c r="K2" s="6">
        <v>886331</v>
      </c>
      <c r="L2" s="7">
        <v>4.6594168473005899</v>
      </c>
    </row>
    <row r="3" spans="1:12">
      <c r="A3" s="2" t="s">
        <v>3</v>
      </c>
      <c r="B3" s="9">
        <v>569339</v>
      </c>
      <c r="C3" s="9"/>
      <c r="D3" s="29">
        <v>5.1259305249455815</v>
      </c>
      <c r="E3" s="29">
        <v>65903700</v>
      </c>
      <c r="F3" s="29">
        <v>5.2655215905424724</v>
      </c>
      <c r="G3" s="29">
        <v>73924000</v>
      </c>
      <c r="H3" s="29">
        <v>5.0946434569696146</v>
      </c>
      <c r="I3" s="9">
        <v>918625</v>
      </c>
      <c r="J3" s="8">
        <v>4.9176374355534547</v>
      </c>
      <c r="K3" s="6">
        <v>970052</v>
      </c>
      <c r="L3" s="7">
        <v>5.0995357620997481</v>
      </c>
    </row>
    <row r="4" spans="1:12">
      <c r="A4" s="2" t="s">
        <v>4</v>
      </c>
      <c r="B4" s="9">
        <v>1368008</v>
      </c>
      <c r="C4" s="9"/>
      <c r="D4" s="29">
        <v>12.316588123367195</v>
      </c>
      <c r="E4" s="29">
        <v>167388500</v>
      </c>
      <c r="F4" s="29">
        <v>13.373873709040895</v>
      </c>
      <c r="G4" s="29">
        <v>196386200</v>
      </c>
      <c r="H4" s="29">
        <v>13.534409242859235</v>
      </c>
      <c r="I4" s="9">
        <v>2655278</v>
      </c>
      <c r="J4" s="8">
        <v>14.214390523447006</v>
      </c>
      <c r="K4" s="6">
        <v>3156313</v>
      </c>
      <c r="L4" s="7">
        <v>16.592647631137652</v>
      </c>
    </row>
    <row r="5" spans="1:12">
      <c r="A5" s="2" t="s">
        <v>5</v>
      </c>
      <c r="B5" s="9">
        <v>524857</v>
      </c>
      <c r="C5" s="9"/>
      <c r="D5" s="29">
        <v>4.7254456791671808</v>
      </c>
      <c r="E5" s="29">
        <v>69528000</v>
      </c>
      <c r="F5" s="29">
        <v>5.555093039499102</v>
      </c>
      <c r="G5" s="29">
        <v>81075500</v>
      </c>
      <c r="H5" s="29">
        <v>5.5875056219298198</v>
      </c>
      <c r="I5" s="9">
        <v>1010136</v>
      </c>
      <c r="J5" s="8">
        <v>5.4075195086136612</v>
      </c>
      <c r="K5" s="6">
        <v>1098562</v>
      </c>
      <c r="L5" s="7">
        <v>5.7751091754708241</v>
      </c>
    </row>
    <row r="6" spans="1:12">
      <c r="A6" s="2" t="s">
        <v>6</v>
      </c>
      <c r="B6" s="9">
        <v>597591</v>
      </c>
      <c r="C6" s="9"/>
      <c r="D6" s="29">
        <v>5.3802917915912225</v>
      </c>
      <c r="E6" s="29">
        <v>67760000</v>
      </c>
      <c r="F6" s="29">
        <v>5.4138347767296509</v>
      </c>
      <c r="G6" s="29">
        <v>91807600</v>
      </c>
      <c r="H6" s="29">
        <v>6.3271331183388835</v>
      </c>
      <c r="I6" s="9">
        <v>1229597</v>
      </c>
      <c r="J6" s="8">
        <v>6.5823510549399611</v>
      </c>
      <c r="K6" s="6">
        <v>1195748</v>
      </c>
      <c r="L6" s="7">
        <v>6.2860132121363073</v>
      </c>
    </row>
    <row r="7" spans="1:12">
      <c r="A7" s="2" t="s">
        <v>7</v>
      </c>
      <c r="B7" s="9">
        <v>797999</v>
      </c>
      <c r="C7" s="9"/>
      <c r="D7" s="29">
        <v>7.1846253865905014</v>
      </c>
      <c r="E7" s="29">
        <v>92319700</v>
      </c>
      <c r="F7" s="29">
        <v>7.3760862225095671</v>
      </c>
      <c r="G7" s="29">
        <v>103079000</v>
      </c>
      <c r="H7" s="29">
        <v>7.1039277217273264</v>
      </c>
      <c r="I7" s="9">
        <v>1270354</v>
      </c>
      <c r="J7" s="8">
        <v>6.8005338269751787</v>
      </c>
      <c r="K7" s="6">
        <v>1382936</v>
      </c>
      <c r="L7" s="7">
        <v>7.270055201881112</v>
      </c>
    </row>
    <row r="8" spans="1:12">
      <c r="A8" s="2" t="s">
        <v>8</v>
      </c>
      <c r="B8" s="9">
        <v>842133</v>
      </c>
      <c r="C8" s="9"/>
      <c r="D8" s="29">
        <v>7.5819770835372209</v>
      </c>
      <c r="E8" s="29">
        <v>90285700</v>
      </c>
      <c r="F8" s="29">
        <v>7.2135753025587404</v>
      </c>
      <c r="G8" s="29">
        <v>118314900</v>
      </c>
      <c r="H8" s="29">
        <v>8.153945013081195</v>
      </c>
      <c r="I8" s="9">
        <v>1707902</v>
      </c>
      <c r="J8" s="8">
        <v>9.1428415419312739</v>
      </c>
      <c r="K8" s="6">
        <v>1636732</v>
      </c>
      <c r="L8" s="7">
        <v>8.6042535523590953</v>
      </c>
    </row>
    <row r="9" spans="1:12">
      <c r="A9" s="2" t="s">
        <v>9</v>
      </c>
      <c r="B9" s="9">
        <v>180844</v>
      </c>
      <c r="C9" s="9"/>
      <c r="D9" s="29">
        <v>1.6281930095308046</v>
      </c>
      <c r="E9" s="29">
        <v>19154200</v>
      </c>
      <c r="F9" s="29">
        <v>1.5303670909155118</v>
      </c>
      <c r="G9" s="29">
        <v>19466500</v>
      </c>
      <c r="H9" s="29">
        <v>1.3415788763473162</v>
      </c>
      <c r="I9" s="9">
        <v>209062</v>
      </c>
      <c r="J9" s="8">
        <v>1.1191630072681196</v>
      </c>
      <c r="K9" s="6">
        <v>208204</v>
      </c>
      <c r="L9" s="7">
        <v>1.0945225037546606</v>
      </c>
    </row>
    <row r="10" spans="1:12">
      <c r="A10" s="2" t="s">
        <v>10</v>
      </c>
      <c r="B10" s="9">
        <v>923811</v>
      </c>
      <c r="C10" s="9"/>
      <c r="D10" s="29">
        <v>8.3173487222559892</v>
      </c>
      <c r="E10" s="29">
        <v>103996400</v>
      </c>
      <c r="F10" s="29">
        <v>8.3090219447267923</v>
      </c>
      <c r="G10" s="29">
        <v>126216700</v>
      </c>
      <c r="H10" s="29">
        <v>8.6985158380944867</v>
      </c>
      <c r="I10" s="9">
        <v>1736679</v>
      </c>
      <c r="J10" s="8">
        <v>9.2968922726243441</v>
      </c>
      <c r="K10" s="6">
        <v>1577701</v>
      </c>
      <c r="L10" s="7">
        <v>8.293929265029643</v>
      </c>
    </row>
    <row r="11" spans="1:12">
      <c r="A11" s="2" t="s">
        <v>11</v>
      </c>
      <c r="B11" s="9">
        <v>625740</v>
      </c>
      <c r="C11" s="9"/>
      <c r="D11" s="29">
        <v>5.6337257182090958</v>
      </c>
      <c r="E11" s="29">
        <v>72353800</v>
      </c>
      <c r="F11" s="29">
        <v>5.7808665683078777</v>
      </c>
      <c r="G11" s="29">
        <v>97920200</v>
      </c>
      <c r="H11" s="29">
        <v>6.7483970866722043</v>
      </c>
      <c r="I11" s="9">
        <v>1177983</v>
      </c>
      <c r="J11" s="8">
        <v>6.3060479512810614</v>
      </c>
      <c r="K11" s="6">
        <v>1080375</v>
      </c>
      <c r="L11" s="7">
        <v>5.6795006339644836</v>
      </c>
    </row>
    <row r="12" spans="1:12">
      <c r="A12" s="2" t="s">
        <v>12</v>
      </c>
      <c r="B12" s="9">
        <v>206539</v>
      </c>
      <c r="C12" s="9"/>
      <c r="D12" s="29">
        <v>1.8595328349045745</v>
      </c>
      <c r="E12" s="29">
        <v>24085400</v>
      </c>
      <c r="F12" s="29">
        <v>1.924356200286959</v>
      </c>
      <c r="G12" s="29">
        <v>26984400</v>
      </c>
      <c r="H12" s="29">
        <v>1.8596923448440408</v>
      </c>
      <c r="I12" s="9">
        <v>305243</v>
      </c>
      <c r="J12" s="8">
        <v>1.6340447992822349</v>
      </c>
      <c r="K12" s="6">
        <v>321221</v>
      </c>
      <c r="L12" s="7">
        <v>1.6886496569642073</v>
      </c>
    </row>
    <row r="13" spans="1:12">
      <c r="A13" s="2" t="s">
        <v>13</v>
      </c>
      <c r="B13" s="9"/>
      <c r="C13" s="9"/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9">
        <v>0</v>
      </c>
      <c r="J13" s="8">
        <v>0</v>
      </c>
      <c r="K13" s="6">
        <v>0</v>
      </c>
      <c r="L13" s="7">
        <v>0</v>
      </c>
    </row>
    <row r="14" spans="1:12">
      <c r="A14" s="2" t="s">
        <v>1</v>
      </c>
      <c r="B14" s="9">
        <v>573184</v>
      </c>
      <c r="C14" s="9"/>
      <c r="D14" s="29">
        <v>5.1605482182151734</v>
      </c>
      <c r="E14" s="29">
        <v>62839200</v>
      </c>
      <c r="F14" s="29">
        <v>5.0206765983156707</v>
      </c>
      <c r="G14" s="29">
        <v>67732500</v>
      </c>
      <c r="H14" s="29">
        <v>4.6679419126291117</v>
      </c>
      <c r="I14" s="9">
        <v>804032</v>
      </c>
      <c r="J14" s="8">
        <v>4.3041914411026427</v>
      </c>
      <c r="K14" s="6">
        <v>803020</v>
      </c>
      <c r="L14" s="7">
        <v>4.2214532908352744</v>
      </c>
    </row>
    <row r="15" spans="1:12">
      <c r="A15" s="2" t="s">
        <v>14</v>
      </c>
      <c r="B15" s="9">
        <v>511708</v>
      </c>
      <c r="C15" s="9"/>
      <c r="D15" s="29">
        <v>4.6070612711562955</v>
      </c>
      <c r="E15" s="29">
        <v>51596600</v>
      </c>
      <c r="F15" s="29">
        <v>4.122424253851964</v>
      </c>
      <c r="G15" s="29">
        <v>55530900</v>
      </c>
      <c r="H15" s="29">
        <v>3.8270404245527025</v>
      </c>
      <c r="I15" s="9">
        <v>654808</v>
      </c>
      <c r="J15" s="8">
        <v>3.50535673849491</v>
      </c>
      <c r="K15" s="6">
        <v>642588</v>
      </c>
      <c r="L15" s="7">
        <v>3.3780668317741243</v>
      </c>
    </row>
    <row r="16" spans="1:12" ht="27">
      <c r="A16" s="2" t="s">
        <v>42</v>
      </c>
      <c r="D16" s="29">
        <v>0</v>
      </c>
      <c r="E16" s="29">
        <v>0</v>
      </c>
      <c r="F16" s="29">
        <v>0</v>
      </c>
      <c r="G16" s="29">
        <v>0</v>
      </c>
      <c r="H16" s="29">
        <v>0</v>
      </c>
      <c r="K16" s="11">
        <f>K9+K5</f>
        <v>1306766</v>
      </c>
      <c r="L16" s="10">
        <f>L9+L5</f>
        <v>6.8696316792254848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BFF9-3C91-4DA4-A192-7079EB3DC977}">
  <sheetPr>
    <outlinePr summaryBelow="0" summaryRight="0"/>
  </sheetPr>
  <dimension ref="A1:H16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6" sqref="H16"/>
    </sheetView>
  </sheetViews>
  <sheetFormatPr defaultRowHeight="15.75"/>
  <cols>
    <col min="1" max="1" width="23.7109375" customWidth="1"/>
    <col min="2" max="5" width="19.28515625" customWidth="1"/>
    <col min="6" max="6" width="17" bestFit="1" customWidth="1"/>
    <col min="7" max="7" width="16.140625" style="1" customWidth="1"/>
    <col min="8" max="8" width="15.5703125" style="1" customWidth="1"/>
  </cols>
  <sheetData>
    <row r="1" spans="1:8">
      <c r="A1" s="2" t="s">
        <v>0</v>
      </c>
      <c r="B1" s="3" t="s">
        <v>25</v>
      </c>
      <c r="C1" s="3" t="s">
        <v>23</v>
      </c>
      <c r="D1" s="3" t="s">
        <v>21</v>
      </c>
      <c r="E1" s="3" t="s">
        <v>20</v>
      </c>
      <c r="F1" s="3" t="s">
        <v>18</v>
      </c>
      <c r="G1" s="3" t="s">
        <v>15</v>
      </c>
      <c r="H1" s="3" t="s">
        <v>16</v>
      </c>
    </row>
    <row r="2" spans="1:8">
      <c r="A2" s="2" t="s">
        <v>2</v>
      </c>
      <c r="B2" s="29">
        <v>2.6209080411159964</v>
      </c>
      <c r="C2" s="29">
        <v>2.6209329720470844</v>
      </c>
      <c r="D2" s="29">
        <v>2.5782194826980844</v>
      </c>
      <c r="E2" s="29">
        <v>2.0148939908372974</v>
      </c>
      <c r="F2" s="12">
        <v>1.85</v>
      </c>
      <c r="G2" s="13">
        <v>34605</v>
      </c>
      <c r="H2" s="14">
        <v>1.8529584686707856</v>
      </c>
    </row>
    <row r="3" spans="1:8">
      <c r="A3" s="2" t="s">
        <v>3</v>
      </c>
      <c r="B3" s="29">
        <v>12.413843466146872</v>
      </c>
      <c r="C3" s="29">
        <v>11.390966674558841</v>
      </c>
      <c r="D3" s="29">
        <v>12.414173136191629</v>
      </c>
      <c r="E3" s="29">
        <v>12.131162513977783</v>
      </c>
      <c r="F3" s="12">
        <v>13.43</v>
      </c>
      <c r="G3" s="13">
        <v>206689</v>
      </c>
      <c r="H3" s="14">
        <v>11.067364049446496</v>
      </c>
    </row>
    <row r="4" spans="1:8">
      <c r="A4" s="2" t="s">
        <v>4</v>
      </c>
      <c r="B4" s="29">
        <v>15.274613544461147</v>
      </c>
      <c r="C4" s="29">
        <v>14.233099783403633</v>
      </c>
      <c r="D4" s="29">
        <v>16.677441467750835</v>
      </c>
      <c r="E4" s="29">
        <v>15.283370829419344</v>
      </c>
      <c r="F4" s="12">
        <v>19.2</v>
      </c>
      <c r="G4" s="13">
        <v>348105</v>
      </c>
      <c r="H4" s="14">
        <v>18.639621665558266</v>
      </c>
    </row>
    <row r="5" spans="1:8">
      <c r="A5" s="2" t="s">
        <v>5</v>
      </c>
      <c r="B5" s="29">
        <v>7.0044690253769053</v>
      </c>
      <c r="C5" s="29">
        <v>7.7249050746687473</v>
      </c>
      <c r="D5" s="29">
        <v>7.3611165294737253</v>
      </c>
      <c r="E5" s="29">
        <v>8.8059246141560781</v>
      </c>
      <c r="F5" s="12">
        <v>6.79</v>
      </c>
      <c r="G5" s="13">
        <v>115609</v>
      </c>
      <c r="H5" s="14">
        <v>6.1903966364560272</v>
      </c>
    </row>
    <row r="6" spans="1:8">
      <c r="A6" s="2" t="s">
        <v>6</v>
      </c>
      <c r="B6" s="29">
        <v>9.0219904295929894</v>
      </c>
      <c r="C6" s="29">
        <v>9.1029665810219491</v>
      </c>
      <c r="D6" s="29">
        <v>7.4021490154989946</v>
      </c>
      <c r="E6" s="29">
        <v>7.3287035656906694</v>
      </c>
      <c r="F6" s="12">
        <v>8.16</v>
      </c>
      <c r="G6" s="13">
        <v>157497</v>
      </c>
      <c r="H6" s="14">
        <v>8.4333304418506767</v>
      </c>
    </row>
    <row r="7" spans="1:8">
      <c r="A7" s="2" t="s">
        <v>7</v>
      </c>
      <c r="B7" s="29">
        <v>4.4252098291273887</v>
      </c>
      <c r="C7" s="29">
        <v>4.0242055940908061</v>
      </c>
      <c r="D7" s="29">
        <v>3.2598185374879485</v>
      </c>
      <c r="E7" s="29">
        <v>3.0398786255818657</v>
      </c>
      <c r="F7" s="12">
        <v>2.48</v>
      </c>
      <c r="G7" s="13">
        <v>45235</v>
      </c>
      <c r="H7" s="14">
        <v>2.4221521840867788</v>
      </c>
    </row>
    <row r="8" spans="1:8">
      <c r="A8" s="2" t="s">
        <v>8</v>
      </c>
      <c r="B8" s="29">
        <v>1.1280497346591416</v>
      </c>
      <c r="C8" s="29">
        <v>1.8319346644802417</v>
      </c>
      <c r="D8" s="29">
        <v>1.4200444739203371</v>
      </c>
      <c r="E8" s="29">
        <v>1.4026305824716212</v>
      </c>
      <c r="F8" s="12">
        <v>1.29</v>
      </c>
      <c r="G8" s="13">
        <v>22969</v>
      </c>
      <c r="H8" s="14">
        <v>1.2298975022944449</v>
      </c>
    </row>
    <row r="9" spans="1:8">
      <c r="A9" s="2" t="s">
        <v>9</v>
      </c>
      <c r="B9" s="29">
        <v>0.50090961398181422</v>
      </c>
      <c r="C9" s="29">
        <v>0.70876119154309569</v>
      </c>
      <c r="D9" s="29">
        <v>0.75370198014835788</v>
      </c>
      <c r="E9" s="29">
        <v>0.96777323990919739</v>
      </c>
      <c r="F9" s="12">
        <v>0.61</v>
      </c>
      <c r="G9" s="13">
        <v>12246</v>
      </c>
      <c r="H9" s="14">
        <v>0.65572401119325063</v>
      </c>
    </row>
    <row r="10" spans="1:8">
      <c r="A10" s="2" t="s">
        <v>10</v>
      </c>
      <c r="B10" s="29">
        <v>4.7806293549725432</v>
      </c>
      <c r="C10" s="29">
        <v>7.1231267044906481</v>
      </c>
      <c r="D10" s="29">
        <v>6.8453193706773083</v>
      </c>
      <c r="E10" s="29">
        <v>6.2007130493356311</v>
      </c>
      <c r="F10" s="12">
        <v>5.66</v>
      </c>
      <c r="G10" s="13">
        <v>103829</v>
      </c>
      <c r="H10" s="14">
        <v>5.5596250496638921</v>
      </c>
    </row>
    <row r="11" spans="1:8">
      <c r="A11" s="2" t="s">
        <v>11</v>
      </c>
      <c r="B11" s="29">
        <v>5.0480165439804585</v>
      </c>
      <c r="C11" s="29">
        <v>4.9016985715162624</v>
      </c>
      <c r="D11" s="29">
        <v>6.2233532667153391</v>
      </c>
      <c r="E11" s="29">
        <v>7.8676450534025877</v>
      </c>
      <c r="F11" s="12">
        <v>6.14</v>
      </c>
      <c r="G11" s="13">
        <v>107787</v>
      </c>
      <c r="H11" s="14">
        <v>5.7715600191480405</v>
      </c>
    </row>
    <row r="12" spans="1:8">
      <c r="A12" s="2" t="s">
        <v>12</v>
      </c>
      <c r="B12" s="29">
        <v>0.53597810185590133</v>
      </c>
      <c r="C12" s="29">
        <v>0.52051819438720182</v>
      </c>
      <c r="D12" s="29">
        <v>0.57445480435376273</v>
      </c>
      <c r="E12" s="29">
        <v>0.82899437970987089</v>
      </c>
      <c r="F12" s="12">
        <v>0.64</v>
      </c>
      <c r="G12" s="13">
        <v>12554</v>
      </c>
      <c r="H12" s="14">
        <v>0.67221617152703483</v>
      </c>
    </row>
    <row r="13" spans="1:8">
      <c r="A13" s="2" t="s">
        <v>13</v>
      </c>
      <c r="B13" s="29">
        <v>8.2704655121082578</v>
      </c>
      <c r="C13" s="29">
        <v>5.6417361616551354</v>
      </c>
      <c r="D13" s="29">
        <v>5.0388450156327504</v>
      </c>
      <c r="E13" s="29">
        <v>5.302582948594103</v>
      </c>
      <c r="F13" s="12">
        <v>4.41</v>
      </c>
      <c r="G13" s="13">
        <v>62219</v>
      </c>
      <c r="H13" s="14">
        <v>3.3315770253497359</v>
      </c>
    </row>
    <row r="14" spans="1:8">
      <c r="A14" s="2" t="s">
        <v>1</v>
      </c>
      <c r="B14" s="29">
        <v>3.0231123002119356</v>
      </c>
      <c r="C14" s="29">
        <v>2.8043529731578349</v>
      </c>
      <c r="D14" s="29">
        <v>2.7414437861907919</v>
      </c>
      <c r="E14" s="29">
        <v>2.2938471111099834</v>
      </c>
      <c r="F14" s="12">
        <v>1.98</v>
      </c>
      <c r="G14" s="13">
        <v>33919</v>
      </c>
      <c r="H14" s="14">
        <v>1.8162259297455388</v>
      </c>
    </row>
    <row r="15" spans="1:8">
      <c r="A15" s="2" t="s">
        <v>14</v>
      </c>
      <c r="B15" s="29">
        <v>0.69840057200956873</v>
      </c>
      <c r="C15" s="29">
        <v>0.81669399697758915</v>
      </c>
      <c r="D15" s="29">
        <v>0.74715350190323859</v>
      </c>
      <c r="E15" s="29">
        <v>0.71672811711717999</v>
      </c>
      <c r="F15" s="12">
        <v>0.52</v>
      </c>
      <c r="G15" s="13">
        <v>10400</v>
      </c>
      <c r="H15" s="14">
        <v>0.55687814114076484</v>
      </c>
    </row>
    <row r="16" spans="1:8">
      <c r="A16" s="2" t="s">
        <v>42</v>
      </c>
      <c r="B16" s="29">
        <v>7.5053786393587201</v>
      </c>
      <c r="C16" s="29">
        <v>8.4336662662118442</v>
      </c>
      <c r="D16" s="29">
        <v>8.1148185096220828</v>
      </c>
      <c r="E16" s="29">
        <v>9.7736978540652757</v>
      </c>
      <c r="F16" s="10">
        <f t="shared" ref="F16:G16" si="0">F9+F5</f>
        <v>7.4</v>
      </c>
      <c r="G16" s="10">
        <f t="shared" si="0"/>
        <v>127855</v>
      </c>
      <c r="H16" s="10">
        <f>H9+H5</f>
        <v>6.8461206476492782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CA7FB-5D6E-46DF-8122-96F21BA97130}">
  <sheetPr>
    <outlinePr summaryBelow="0" summaryRight="0"/>
  </sheetPr>
  <dimension ref="A1:M18"/>
  <sheetViews>
    <sheetView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B1" sqref="B1:M1"/>
    </sheetView>
  </sheetViews>
  <sheetFormatPr defaultRowHeight="15.75"/>
  <cols>
    <col min="1" max="1" width="17" bestFit="1" customWidth="1"/>
    <col min="2" max="2" width="26.42578125" customWidth="1"/>
    <col min="3" max="3" width="17.42578125" bestFit="1" customWidth="1"/>
    <col min="4" max="4" width="26.42578125" customWidth="1"/>
    <col min="5" max="5" width="17.42578125" bestFit="1" customWidth="1"/>
    <col min="6" max="6" width="26.42578125" customWidth="1"/>
    <col min="7" max="7" width="17.42578125" bestFit="1" customWidth="1"/>
    <col min="8" max="8" width="26.42578125" customWidth="1"/>
    <col min="9" max="9" width="17.42578125" bestFit="1" customWidth="1"/>
    <col min="10" max="10" width="26.42578125" customWidth="1"/>
    <col min="11" max="11" width="17.42578125" bestFit="1" customWidth="1"/>
    <col min="12" max="12" width="29" customWidth="1"/>
    <col min="13" max="13" width="21.28515625" bestFit="1" customWidth="1"/>
  </cols>
  <sheetData>
    <row r="1" spans="1:13">
      <c r="A1" s="2" t="s">
        <v>0</v>
      </c>
      <c r="B1" s="3" t="s">
        <v>29</v>
      </c>
      <c r="C1" s="3" t="s">
        <v>25</v>
      </c>
      <c r="D1" s="3" t="s">
        <v>30</v>
      </c>
      <c r="E1" s="3" t="s">
        <v>23</v>
      </c>
      <c r="F1" s="3" t="s">
        <v>31</v>
      </c>
      <c r="G1" s="3" t="s">
        <v>21</v>
      </c>
      <c r="H1" s="3" t="s">
        <v>32</v>
      </c>
      <c r="I1" s="3" t="s">
        <v>20</v>
      </c>
      <c r="J1" s="3" t="s">
        <v>33</v>
      </c>
      <c r="K1" s="3" t="s">
        <v>18</v>
      </c>
      <c r="L1" s="3" t="s">
        <v>34</v>
      </c>
      <c r="M1" s="3" t="s">
        <v>16</v>
      </c>
    </row>
    <row r="2" spans="1:13">
      <c r="A2" s="2" t="s">
        <v>2</v>
      </c>
      <c r="B2" s="25">
        <v>40864.470099999999</v>
      </c>
      <c r="C2" s="26">
        <v>3.2903029425429102E-2</v>
      </c>
      <c r="D2" s="25">
        <v>74675.9035</v>
      </c>
      <c r="E2" s="26">
        <v>3.2026411058920699E-2</v>
      </c>
      <c r="F2" s="25">
        <v>42284.889199999998</v>
      </c>
      <c r="G2" s="26">
        <v>2.8162908131905699E-2</v>
      </c>
      <c r="H2" s="25">
        <v>47111.445500000002</v>
      </c>
      <c r="I2" s="26">
        <v>2.74507021635183E-2</v>
      </c>
      <c r="J2" s="25">
        <v>65318.5959</v>
      </c>
      <c r="K2" s="26">
        <v>2.5719760170865399E-2</v>
      </c>
      <c r="L2" s="25">
        <v>24425.741999999998</v>
      </c>
      <c r="M2" s="26">
        <v>2.3599999999999999E-2</v>
      </c>
    </row>
    <row r="3" spans="1:13">
      <c r="A3" s="2" t="s">
        <v>3</v>
      </c>
      <c r="B3" s="25">
        <v>30102.4594</v>
      </c>
      <c r="C3" s="26">
        <v>2.4237732802902201E-2</v>
      </c>
      <c r="D3" s="25">
        <v>82507.352299999999</v>
      </c>
      <c r="E3" s="26">
        <v>3.53851008999575E-2</v>
      </c>
      <c r="F3" s="25">
        <v>57045.928699999997</v>
      </c>
      <c r="G3" s="26">
        <v>3.7994169540766898E-2</v>
      </c>
      <c r="H3" s="25">
        <v>68025.455199999997</v>
      </c>
      <c r="I3" s="26">
        <v>3.9636790814091202E-2</v>
      </c>
      <c r="J3" s="25">
        <v>106066.97689999999</v>
      </c>
      <c r="K3" s="26">
        <v>4.1764786433762302E-2</v>
      </c>
      <c r="L3" s="25">
        <v>44660.989699999998</v>
      </c>
      <c r="M3" s="26">
        <v>4.3099999999999999E-2</v>
      </c>
    </row>
    <row r="4" spans="1:13">
      <c r="A4" s="2" t="s">
        <v>4</v>
      </c>
      <c r="B4" s="25">
        <v>12930.9984</v>
      </c>
      <c r="C4" s="26">
        <v>1.04117102170714E-2</v>
      </c>
      <c r="D4" s="25">
        <v>25909.755399999998</v>
      </c>
      <c r="E4" s="26">
        <v>1.1111971037303801E-2</v>
      </c>
      <c r="F4" s="25">
        <v>15473.529699999999</v>
      </c>
      <c r="G4" s="26">
        <v>1.03057996287103E-2</v>
      </c>
      <c r="H4" s="25">
        <v>17947.165099999998</v>
      </c>
      <c r="I4" s="26">
        <v>1.0457379912904401E-2</v>
      </c>
      <c r="J4" s="25">
        <v>27186.5422</v>
      </c>
      <c r="K4" s="26">
        <v>1.0704935334642E-2</v>
      </c>
      <c r="L4" s="25">
        <v>12083.0234</v>
      </c>
      <c r="M4" s="26">
        <v>1.17E-2</v>
      </c>
    </row>
    <row r="5" spans="1:13">
      <c r="A5" s="2" t="s">
        <v>5</v>
      </c>
      <c r="B5" s="25">
        <v>26597.632099999999</v>
      </c>
      <c r="C5" s="26">
        <v>2.1415735221610999E-2</v>
      </c>
      <c r="D5" s="25">
        <v>55100.385499999997</v>
      </c>
      <c r="E5" s="26">
        <v>2.36310176753067E-2</v>
      </c>
      <c r="F5" s="25">
        <v>32929.540300000001</v>
      </c>
      <c r="G5" s="26">
        <v>2.1931986481231899E-2</v>
      </c>
      <c r="H5" s="25">
        <v>38840.580199999997</v>
      </c>
      <c r="I5" s="26">
        <v>2.2631468587149303E-2</v>
      </c>
      <c r="J5" s="25">
        <v>56472.455000000002</v>
      </c>
      <c r="K5" s="26">
        <v>2.2236515939253201E-2</v>
      </c>
      <c r="L5" s="25">
        <v>22802.976999999999</v>
      </c>
      <c r="M5" s="26">
        <v>2.1997482319191301E-2</v>
      </c>
    </row>
    <row r="6" spans="1:13">
      <c r="A6" s="2" t="s">
        <v>6</v>
      </c>
      <c r="B6" s="25">
        <v>69203.053899999999</v>
      </c>
      <c r="C6" s="26">
        <v>5.57205345677848E-2</v>
      </c>
      <c r="D6" s="25">
        <v>142980.15599999999</v>
      </c>
      <c r="E6" s="26">
        <v>6.1320198815198991E-2</v>
      </c>
      <c r="F6" s="25">
        <v>73991.778999999995</v>
      </c>
      <c r="G6" s="26">
        <v>4.9280575494407799E-2</v>
      </c>
      <c r="H6" s="25">
        <v>120704.94070000001</v>
      </c>
      <c r="I6" s="26">
        <v>7.0331855489784004E-2</v>
      </c>
      <c r="J6" s="25">
        <v>181419.06630000001</v>
      </c>
      <c r="K6" s="26">
        <v>7.1435321157268306E-2</v>
      </c>
      <c r="L6" s="25">
        <v>69472.422200000001</v>
      </c>
      <c r="M6" s="26">
        <v>6.7000000000000004E-2</v>
      </c>
    </row>
    <row r="7" spans="1:13">
      <c r="A7" s="2" t="s">
        <v>7</v>
      </c>
      <c r="B7" s="25">
        <v>18146.595099999999</v>
      </c>
      <c r="C7" s="26">
        <v>1.4611175700688902E-2</v>
      </c>
      <c r="D7" s="25">
        <v>33451.642599999999</v>
      </c>
      <c r="E7" s="26">
        <v>1.4346475988786699E-2</v>
      </c>
      <c r="F7" s="25">
        <v>20779.0864</v>
      </c>
      <c r="G7" s="26">
        <v>1.3839447434288898E-2</v>
      </c>
      <c r="H7" s="25">
        <v>23027.300200000001</v>
      </c>
      <c r="I7" s="26">
        <v>1.34174520164134E-2</v>
      </c>
      <c r="J7" s="25">
        <v>31943.934499999999</v>
      </c>
      <c r="K7" s="26">
        <v>1.25781995606833E-2</v>
      </c>
      <c r="L7" s="25">
        <v>17938.956900000001</v>
      </c>
      <c r="M7" s="26">
        <v>1.21E-2</v>
      </c>
    </row>
    <row r="8" spans="1:13">
      <c r="A8" s="2" t="s">
        <v>8</v>
      </c>
      <c r="B8" s="25">
        <v>39021.7575</v>
      </c>
      <c r="C8" s="26">
        <v>3.1419324222546598E-2</v>
      </c>
      <c r="D8" s="25">
        <v>75148.235700000005</v>
      </c>
      <c r="E8" s="26">
        <v>3.2228981158304498E-2</v>
      </c>
      <c r="F8" s="25">
        <v>44529.990700000002</v>
      </c>
      <c r="G8" s="26">
        <v>2.9658207953840797E-2</v>
      </c>
      <c r="H8" s="25">
        <v>48637.542399999998</v>
      </c>
      <c r="I8" s="26">
        <v>2.8339921991735396E-2</v>
      </c>
      <c r="J8" s="25">
        <v>67342.625199999995</v>
      </c>
      <c r="K8" s="26">
        <v>2.6516739154530403E-2</v>
      </c>
      <c r="L8" s="25">
        <v>27064.458500000001</v>
      </c>
      <c r="M8" s="26">
        <v>2.6100000000000002E-2</v>
      </c>
    </row>
    <row r="9" spans="1:13">
      <c r="A9" s="2" t="s">
        <v>26</v>
      </c>
      <c r="B9" s="25">
        <v>45385.551299999999</v>
      </c>
      <c r="C9" s="26">
        <v>3.6543288736129297E-2</v>
      </c>
      <c r="D9" s="25">
        <v>84223.060500000007</v>
      </c>
      <c r="E9" s="26">
        <v>3.6120920267316899E-2</v>
      </c>
      <c r="F9" s="25">
        <v>51523.9349</v>
      </c>
      <c r="G9" s="26">
        <v>3.43163686280391E-2</v>
      </c>
      <c r="H9" s="25">
        <v>58878.473700000002</v>
      </c>
      <c r="I9" s="26">
        <v>3.4307065474805797E-2</v>
      </c>
      <c r="J9" s="25">
        <v>81745.127900000007</v>
      </c>
      <c r="K9" s="26">
        <v>3.2187848739790803E-2</v>
      </c>
      <c r="L9" s="25">
        <v>30007.001100000001</v>
      </c>
      <c r="M9" s="26">
        <v>2.8947030738539201E-2</v>
      </c>
    </row>
    <row r="10" spans="1:13">
      <c r="A10" s="2" t="s">
        <v>10</v>
      </c>
      <c r="B10" s="25">
        <v>23191.6211</v>
      </c>
      <c r="C10" s="26">
        <v>1.8673302005614501E-2</v>
      </c>
      <c r="D10" s="25">
        <v>45113.413800000002</v>
      </c>
      <c r="E10" s="26">
        <v>1.9347884215823199E-2</v>
      </c>
      <c r="F10" s="25">
        <v>26355.123800000001</v>
      </c>
      <c r="G10" s="26">
        <v>1.75532428824338E-2</v>
      </c>
      <c r="H10" s="25">
        <v>29171.138599999998</v>
      </c>
      <c r="I10" s="26">
        <v>1.6997318358217502E-2</v>
      </c>
      <c r="J10" s="25">
        <v>45388.3053</v>
      </c>
      <c r="K10" s="26">
        <v>1.7872036451384E-2</v>
      </c>
      <c r="L10" s="25">
        <v>17938.956900000001</v>
      </c>
      <c r="M10" s="26">
        <v>1.7299999999999999E-2</v>
      </c>
    </row>
    <row r="11" spans="1:13">
      <c r="A11" s="2" t="s">
        <v>11</v>
      </c>
      <c r="B11" s="25">
        <v>58088.987300000001</v>
      </c>
      <c r="C11" s="26">
        <v>4.6771771510754998E-2</v>
      </c>
      <c r="D11" s="25">
        <v>113279.24340000001</v>
      </c>
      <c r="E11" s="26">
        <v>4.8582306253207003E-2</v>
      </c>
      <c r="F11" s="25">
        <v>72788.796600000001</v>
      </c>
      <c r="G11" s="26">
        <v>4.8479355875379E-2</v>
      </c>
      <c r="H11" s="25">
        <v>82521.046499999997</v>
      </c>
      <c r="I11" s="26">
        <v>4.80830219843996E-2</v>
      </c>
      <c r="J11" s="25">
        <v>121194.40670000001</v>
      </c>
      <c r="K11" s="26">
        <v>4.77213423133966E-2</v>
      </c>
      <c r="L11" s="25">
        <v>49824.5023</v>
      </c>
      <c r="M11" s="26">
        <v>4.8099999999999997E-2</v>
      </c>
    </row>
    <row r="12" spans="1:13">
      <c r="A12" s="2" t="s">
        <v>12</v>
      </c>
      <c r="B12" s="25">
        <v>160221.17550000001</v>
      </c>
      <c r="C12" s="26">
        <v>0.12900600544073501</v>
      </c>
      <c r="D12" s="25">
        <v>306473.49939999997</v>
      </c>
      <c r="E12" s="26">
        <v>0.13143793125248601</v>
      </c>
      <c r="F12" s="25">
        <v>177998.01149999999</v>
      </c>
      <c r="G12" s="26">
        <v>0.11855160886968602</v>
      </c>
      <c r="H12" s="25">
        <v>218849.70670000001</v>
      </c>
      <c r="I12" s="26">
        <v>0.127518441716993</v>
      </c>
      <c r="J12" s="25">
        <v>336712.12569999998</v>
      </c>
      <c r="K12" s="26">
        <v>0.132583301895904</v>
      </c>
      <c r="L12" s="25">
        <v>135633.3811</v>
      </c>
      <c r="M12" s="26">
        <v>0.1308</v>
      </c>
    </row>
    <row r="13" spans="1:13">
      <c r="A13" s="2" t="s">
        <v>13</v>
      </c>
      <c r="B13" s="25">
        <v>109914.0027</v>
      </c>
      <c r="C13" s="26">
        <v>8.8499952556702705E-2</v>
      </c>
      <c r="D13" s="25">
        <v>249387.73439999999</v>
      </c>
      <c r="E13" s="26">
        <v>0.10695543971486501</v>
      </c>
      <c r="F13" s="25">
        <v>156740.20199999999</v>
      </c>
      <c r="G13" s="26">
        <v>0.104393318582997</v>
      </c>
      <c r="H13" s="25">
        <v>190472.57430000001</v>
      </c>
      <c r="I13" s="26">
        <v>0.110983771606581</v>
      </c>
      <c r="J13" s="25">
        <v>263124.2781</v>
      </c>
      <c r="K13" s="26">
        <v>0.10360745258861399</v>
      </c>
      <c r="L13" s="25">
        <v>111159.1575</v>
      </c>
      <c r="M13" s="26">
        <v>0.1072</v>
      </c>
    </row>
    <row r="14" spans="1:13">
      <c r="A14" s="2" t="s">
        <v>1</v>
      </c>
      <c r="B14" s="25">
        <v>13077.520500000001</v>
      </c>
      <c r="C14" s="26">
        <v>1.05296860761973E-2</v>
      </c>
      <c r="D14" s="25">
        <v>22051.244999999999</v>
      </c>
      <c r="E14" s="26">
        <v>9.45716360473591E-3</v>
      </c>
      <c r="F14" s="25">
        <v>12951.024600000001</v>
      </c>
      <c r="G14" s="26">
        <v>8.6257413209409797E-3</v>
      </c>
      <c r="H14" s="25">
        <v>14267.252899999999</v>
      </c>
      <c r="I14" s="26">
        <v>8.3131838960341896E-3</v>
      </c>
      <c r="J14" s="25">
        <v>18893.9198</v>
      </c>
      <c r="K14" s="26">
        <v>7.4396437836405597E-3</v>
      </c>
      <c r="L14" s="25">
        <v>7288.8427000000001</v>
      </c>
      <c r="M14" s="26">
        <v>7.0000000000000001E-3</v>
      </c>
    </row>
    <row r="15" spans="1:13">
      <c r="A15" s="2" t="s">
        <v>14</v>
      </c>
      <c r="B15" s="25">
        <v>11540.858399999999</v>
      </c>
      <c r="C15" s="26">
        <v>9.2924049327122206E-3</v>
      </c>
      <c r="D15" s="25">
        <v>21384.394</v>
      </c>
      <c r="E15" s="26">
        <v>9.1711698203948509E-3</v>
      </c>
      <c r="F15" s="25">
        <v>13553.1813</v>
      </c>
      <c r="G15" s="26">
        <v>9.0267943718996997E-3</v>
      </c>
      <c r="H15" s="25">
        <v>14710.6332</v>
      </c>
      <c r="I15" s="26">
        <v>8.5715308949703903E-3</v>
      </c>
      <c r="J15" s="25">
        <v>21093.954900000001</v>
      </c>
      <c r="K15" s="26">
        <v>8.30592656819573E-3</v>
      </c>
      <c r="L15" s="25">
        <v>7986.6463999999996</v>
      </c>
      <c r="M15" s="26">
        <v>7.7000000000000002E-3</v>
      </c>
    </row>
    <row r="16" spans="1:13">
      <c r="A16" s="2" t="s">
        <v>27</v>
      </c>
      <c r="B16" s="23">
        <v>26063.710800000001</v>
      </c>
      <c r="C16" s="24">
        <v>2.0985835403950999E-2</v>
      </c>
      <c r="D16" s="23">
        <v>44933.762600000002</v>
      </c>
      <c r="E16" s="24">
        <v>1.9270836829601401E-2</v>
      </c>
      <c r="F16" s="23">
        <v>26623.6149</v>
      </c>
      <c r="G16" s="24">
        <v>1.7732065396258299E-2</v>
      </c>
      <c r="H16" s="23">
        <v>33051.748399999997</v>
      </c>
      <c r="I16" s="24">
        <v>1.9258456022368101E-2</v>
      </c>
      <c r="J16" s="23">
        <v>43043.686999999998</v>
      </c>
      <c r="K16" s="24">
        <v>1.6948822785546099E-2</v>
      </c>
      <c r="L16" s="23">
        <v>15498.8406</v>
      </c>
      <c r="M16" s="24">
        <v>1.4951357976919599E-2</v>
      </c>
    </row>
    <row r="17" spans="1:13">
      <c r="A17" s="2" t="s">
        <v>42</v>
      </c>
      <c r="B17" s="23">
        <f t="shared" ref="B17:L17" si="0">B5+B9</f>
        <v>71983.183399999994</v>
      </c>
      <c r="C17" s="24">
        <f t="shared" si="0"/>
        <v>5.7959023957740295E-2</v>
      </c>
      <c r="D17" s="23">
        <f t="shared" si="0"/>
        <v>139323.446</v>
      </c>
      <c r="E17" s="24">
        <f t="shared" si="0"/>
        <v>5.9751937942623595E-2</v>
      </c>
      <c r="F17" s="23">
        <f t="shared" si="0"/>
        <v>84453.475200000001</v>
      </c>
      <c r="G17" s="24">
        <f t="shared" si="0"/>
        <v>5.6248355109270995E-2</v>
      </c>
      <c r="H17" s="23">
        <f t="shared" si="0"/>
        <v>97719.053899999999</v>
      </c>
      <c r="I17" s="24">
        <f t="shared" si="0"/>
        <v>5.69385340619551E-2</v>
      </c>
      <c r="J17" s="23">
        <f t="shared" si="0"/>
        <v>138217.58290000001</v>
      </c>
      <c r="K17" s="24">
        <f t="shared" si="0"/>
        <v>5.4424364679044004E-2</v>
      </c>
      <c r="L17" s="23">
        <f t="shared" si="0"/>
        <v>52809.9781</v>
      </c>
      <c r="M17" s="24">
        <f>M5+M9</f>
        <v>5.0944513057730498E-2</v>
      </c>
    </row>
    <row r="18" spans="1:13">
      <c r="A18" s="2" t="s">
        <v>28</v>
      </c>
      <c r="B18" s="23">
        <v>44295.381699999998</v>
      </c>
      <c r="C18" s="24">
        <v>3.5665511969668599E-2</v>
      </c>
      <c r="D18" s="23">
        <v>79467.606400000004</v>
      </c>
      <c r="E18" s="24">
        <v>3.4081438712487998E-2</v>
      </c>
      <c r="F18" s="23">
        <v>44429.922899999998</v>
      </c>
      <c r="G18" s="24">
        <v>2.9591560025664099E-2</v>
      </c>
      <c r="H18" s="23">
        <v>9054.1741999999995</v>
      </c>
      <c r="I18" s="24">
        <v>5.2756487656658987E-3</v>
      </c>
      <c r="J18" s="23">
        <v>0</v>
      </c>
      <c r="K18" s="24">
        <v>0</v>
      </c>
      <c r="L18" s="23">
        <v>0</v>
      </c>
      <c r="M18" s="24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43600-4074-47FE-AA26-30F7318EF457}">
  <sheetPr>
    <outlinePr summaryBelow="0" summaryRight="0"/>
  </sheetPr>
  <dimension ref="A1:M27"/>
  <sheetViews>
    <sheetView zoomScale="115" zoomScaleNormal="115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M1" sqref="B1:M1"/>
    </sheetView>
  </sheetViews>
  <sheetFormatPr defaultRowHeight="15.75"/>
  <cols>
    <col min="1" max="1" width="23.5703125" customWidth="1"/>
    <col min="2" max="2" width="50.7109375" customWidth="1"/>
    <col min="3" max="3" width="17.42578125" customWidth="1"/>
    <col min="4" max="4" width="26.42578125" customWidth="1"/>
    <col min="5" max="5" width="17.42578125" customWidth="1"/>
    <col min="6" max="6" width="26.42578125" customWidth="1"/>
    <col min="7" max="7" width="17.42578125" customWidth="1"/>
    <col min="8" max="8" width="26.42578125" customWidth="1"/>
    <col min="9" max="9" width="17.42578125" customWidth="1"/>
    <col min="10" max="10" width="27.7109375" customWidth="1"/>
    <col min="11" max="11" width="17.42578125" customWidth="1"/>
    <col min="12" max="12" width="26.7109375" customWidth="1"/>
    <col min="13" max="13" width="21.28515625" bestFit="1" customWidth="1"/>
  </cols>
  <sheetData>
    <row r="1" spans="1:13">
      <c r="A1" s="2" t="s">
        <v>0</v>
      </c>
      <c r="B1" s="3" t="s">
        <v>29</v>
      </c>
      <c r="C1" s="3" t="s">
        <v>25</v>
      </c>
      <c r="D1" s="3" t="s">
        <v>30</v>
      </c>
      <c r="E1" s="3" t="s">
        <v>23</v>
      </c>
      <c r="F1" s="3" t="s">
        <v>31</v>
      </c>
      <c r="G1" s="3" t="s">
        <v>21</v>
      </c>
      <c r="H1" s="3" t="s">
        <v>32</v>
      </c>
      <c r="I1" s="3" t="s">
        <v>20</v>
      </c>
      <c r="J1" s="3" t="s">
        <v>33</v>
      </c>
      <c r="K1" s="3" t="s">
        <v>18</v>
      </c>
      <c r="L1" s="3" t="s">
        <v>34</v>
      </c>
      <c r="M1" s="3" t="s">
        <v>16</v>
      </c>
    </row>
    <row r="2" spans="1:13">
      <c r="A2" s="2" t="s">
        <v>2</v>
      </c>
      <c r="B2" s="25">
        <v>70784107942</v>
      </c>
      <c r="C2" s="26">
        <v>1.9494644583882229E-2</v>
      </c>
      <c r="D2" s="25">
        <v>89812154129</v>
      </c>
      <c r="E2" s="26">
        <v>2.1299999999999999E-2</v>
      </c>
      <c r="F2" s="25">
        <v>93870757491</v>
      </c>
      <c r="G2" s="26">
        <v>2.58E-2</v>
      </c>
      <c r="H2" s="25">
        <v>112496086800</v>
      </c>
      <c r="I2" s="26">
        <v>2.5499999999999998E-2</v>
      </c>
      <c r="J2" s="25">
        <v>179182136515</v>
      </c>
      <c r="K2" s="26">
        <v>2.3099999999999999E-2</v>
      </c>
      <c r="L2" s="25">
        <v>99096239989</v>
      </c>
      <c r="M2" s="26">
        <v>2.2100000000000002E-2</v>
      </c>
    </row>
    <row r="3" spans="1:13">
      <c r="A3" s="2" t="s">
        <v>3</v>
      </c>
      <c r="B3" s="25">
        <v>750020012190</v>
      </c>
      <c r="C3" s="26">
        <v>0.20656294178947227</v>
      </c>
      <c r="D3" s="25">
        <v>828673530501</v>
      </c>
      <c r="E3" s="26">
        <v>0.19639999999999999</v>
      </c>
      <c r="F3" s="25">
        <v>944955809949</v>
      </c>
      <c r="G3" s="26">
        <v>0.25990000000000002</v>
      </c>
      <c r="H3" s="25">
        <v>889405276601</v>
      </c>
      <c r="I3" s="26">
        <v>0.20119999999999999</v>
      </c>
      <c r="J3" s="25">
        <v>1605324451381</v>
      </c>
      <c r="K3" s="26">
        <v>0.20680000000000001</v>
      </c>
      <c r="L3" s="25">
        <v>942662821960</v>
      </c>
      <c r="M3" s="26">
        <v>0.20979999999999999</v>
      </c>
    </row>
    <row r="4" spans="1:13">
      <c r="A4" s="2" t="s">
        <v>4</v>
      </c>
      <c r="B4" s="25">
        <v>65138755295</v>
      </c>
      <c r="C4" s="26">
        <v>1.7939858536509541E-2</v>
      </c>
      <c r="D4" s="25">
        <v>110060177264</v>
      </c>
      <c r="E4" s="26">
        <v>2.6100000000000002E-2</v>
      </c>
      <c r="F4" s="25">
        <v>81767591970</v>
      </c>
      <c r="G4" s="26">
        <v>2.2499999999999999E-2</v>
      </c>
      <c r="H4" s="25">
        <v>130081141920</v>
      </c>
      <c r="I4" s="26">
        <v>2.9399999999999999E-2</v>
      </c>
      <c r="J4" s="25">
        <v>251773234879</v>
      </c>
      <c r="K4" s="26">
        <v>3.2399999999999998E-2</v>
      </c>
      <c r="L4" s="25">
        <v>142826817022</v>
      </c>
      <c r="M4" s="26">
        <v>3.1800000000000002E-2</v>
      </c>
    </row>
    <row r="5" spans="1:13">
      <c r="A5" s="2" t="s">
        <v>5</v>
      </c>
      <c r="B5" s="25">
        <v>50509096413</v>
      </c>
      <c r="C5" s="26">
        <v>1.3910705544686621E-2</v>
      </c>
      <c r="D5" s="25">
        <v>87378661635</v>
      </c>
      <c r="E5" s="26">
        <v>2.07E-2</v>
      </c>
      <c r="F5" s="25">
        <v>99452538889</v>
      </c>
      <c r="G5" s="26">
        <v>2.7300000000000001E-2</v>
      </c>
      <c r="H5" s="25">
        <v>130216644984</v>
      </c>
      <c r="I5" s="26">
        <v>2.9499999999999998E-2</v>
      </c>
      <c r="J5" s="25">
        <v>208842005741</v>
      </c>
      <c r="K5" s="26">
        <v>2.69E-2</v>
      </c>
      <c r="L5" s="25">
        <v>95077982974</v>
      </c>
      <c r="M5" s="26">
        <v>2.12E-2</v>
      </c>
    </row>
    <row r="6" spans="1:13">
      <c r="A6" s="2" t="s">
        <v>6</v>
      </c>
      <c r="B6" s="25">
        <v>412025025794</v>
      </c>
      <c r="C6" s="26">
        <v>0.11347577402685548</v>
      </c>
      <c r="D6" s="25">
        <v>485494008256</v>
      </c>
      <c r="E6" s="26">
        <v>0.11509999999999999</v>
      </c>
      <c r="F6" s="25">
        <v>341454182115</v>
      </c>
      <c r="G6" s="26">
        <v>9.3899999999999997E-2</v>
      </c>
      <c r="H6" s="25">
        <v>464135384801</v>
      </c>
      <c r="I6" s="26">
        <v>0.105</v>
      </c>
      <c r="J6" s="25">
        <v>906837861296</v>
      </c>
      <c r="K6" s="26">
        <v>0.1168</v>
      </c>
      <c r="L6" s="25">
        <v>572703089365</v>
      </c>
      <c r="M6" s="26">
        <v>0.12740000000000001</v>
      </c>
    </row>
    <row r="7" spans="1:13">
      <c r="A7" s="2" t="s">
        <v>7</v>
      </c>
      <c r="B7" s="25">
        <v>57616412075</v>
      </c>
      <c r="C7" s="26">
        <v>1.5868130690026877E-2</v>
      </c>
      <c r="D7" s="25">
        <v>78103213223</v>
      </c>
      <c r="E7" s="26">
        <v>1.8499999999999999E-2</v>
      </c>
      <c r="F7" s="25">
        <v>59020651423</v>
      </c>
      <c r="G7" s="26">
        <v>1.6199999999999999E-2</v>
      </c>
      <c r="H7" s="25">
        <v>71741181315</v>
      </c>
      <c r="I7" s="26">
        <v>1.6199999999999999E-2</v>
      </c>
      <c r="J7" s="25">
        <v>107860991291</v>
      </c>
      <c r="K7" s="26">
        <v>1.3899999999999999E-2</v>
      </c>
      <c r="L7" s="25">
        <v>67295056840</v>
      </c>
      <c r="M7" s="26">
        <v>1.4999999999999999E-2</v>
      </c>
    </row>
    <row r="8" spans="1:13">
      <c r="A8" s="2" t="s">
        <v>8</v>
      </c>
      <c r="B8" s="25">
        <v>28187562410</v>
      </c>
      <c r="C8" s="26">
        <v>7.7631339412966901E-3</v>
      </c>
      <c r="D8" s="25">
        <v>51407790779</v>
      </c>
      <c r="E8" s="26">
        <v>1.2200000000000001E-2</v>
      </c>
      <c r="F8" s="25">
        <v>53410595193</v>
      </c>
      <c r="G8" s="26">
        <v>1.47E-2</v>
      </c>
      <c r="H8" s="25">
        <v>70022373354</v>
      </c>
      <c r="I8" s="26">
        <v>1.5800000000000002E-2</v>
      </c>
      <c r="J8" s="25">
        <v>130355007520</v>
      </c>
      <c r="K8" s="26">
        <v>1.6799999999999999E-2</v>
      </c>
      <c r="L8" s="25">
        <v>71678106077</v>
      </c>
      <c r="M8" s="26">
        <v>1.6E-2</v>
      </c>
    </row>
    <row r="9" spans="1:13">
      <c r="A9" s="2" t="s">
        <v>41</v>
      </c>
      <c r="B9" s="25">
        <v>157725595072</v>
      </c>
      <c r="C9" s="26">
        <v>4.343919146695243E-2</v>
      </c>
      <c r="D9" s="25">
        <v>109883851533</v>
      </c>
      <c r="E9" s="26">
        <v>2.5999999999999999E-2</v>
      </c>
      <c r="F9" s="25">
        <v>75375993617</v>
      </c>
      <c r="G9" s="26">
        <v>2.07E-2</v>
      </c>
      <c r="H9" s="25">
        <v>153874001121</v>
      </c>
      <c r="I9" s="26">
        <v>3.4799999999999998E-2</v>
      </c>
      <c r="J9" s="25">
        <v>233215604085</v>
      </c>
      <c r="K9" s="26">
        <v>0.03</v>
      </c>
      <c r="L9" s="25">
        <v>103843129240</v>
      </c>
      <c r="M9" s="27">
        <v>2.3099999999999999E-2</v>
      </c>
    </row>
    <row r="10" spans="1:13">
      <c r="A10" s="2" t="s">
        <v>10</v>
      </c>
      <c r="B10" s="25">
        <v>87309637833</v>
      </c>
      <c r="C10" s="26">
        <v>2.4045939233937608E-2</v>
      </c>
      <c r="D10" s="25">
        <v>134786512189</v>
      </c>
      <c r="E10" s="26">
        <v>3.1899999999999998E-2</v>
      </c>
      <c r="F10" s="25">
        <v>141062506968</v>
      </c>
      <c r="G10" s="26">
        <v>3.8800000000000001E-2</v>
      </c>
      <c r="H10" s="25">
        <v>142406458778</v>
      </c>
      <c r="I10" s="26">
        <v>3.2199999999999999E-2</v>
      </c>
      <c r="J10" s="25">
        <v>230769487776</v>
      </c>
      <c r="K10" s="26">
        <v>2.9700000000000001E-2</v>
      </c>
      <c r="L10" s="25">
        <v>132989027955</v>
      </c>
      <c r="M10" s="26">
        <v>2.9600000000000001E-2</v>
      </c>
    </row>
    <row r="11" spans="1:13">
      <c r="A11" s="2" t="s">
        <v>11</v>
      </c>
      <c r="B11" s="25">
        <v>660846311997</v>
      </c>
      <c r="C11" s="26">
        <v>0.1820036213143644</v>
      </c>
      <c r="D11" s="25">
        <v>767658908898</v>
      </c>
      <c r="E11" s="26">
        <v>0.18190000000000001</v>
      </c>
      <c r="F11" s="25">
        <v>611123691518</v>
      </c>
      <c r="G11" s="26">
        <v>0.1681</v>
      </c>
      <c r="H11" s="25">
        <v>811875002346</v>
      </c>
      <c r="I11" s="26">
        <v>0.1837</v>
      </c>
      <c r="J11" s="25">
        <v>1472611862543</v>
      </c>
      <c r="K11" s="26">
        <v>0.18970000000000001</v>
      </c>
      <c r="L11" s="25">
        <v>777850549124</v>
      </c>
      <c r="M11" s="26">
        <v>0.1731</v>
      </c>
    </row>
    <row r="12" spans="1:13">
      <c r="A12" s="2" t="s">
        <v>12</v>
      </c>
      <c r="B12" s="25">
        <v>399796058542</v>
      </c>
      <c r="C12" s="26">
        <v>0.11010779529353559</v>
      </c>
      <c r="D12" s="25">
        <v>536245123672</v>
      </c>
      <c r="E12" s="26">
        <v>0.12709999999999999</v>
      </c>
      <c r="F12" s="25">
        <v>387298159065</v>
      </c>
      <c r="G12" s="26">
        <v>0.1065</v>
      </c>
      <c r="H12" s="25">
        <v>515571960851</v>
      </c>
      <c r="I12" s="26">
        <v>0.1167</v>
      </c>
      <c r="J12" s="25">
        <v>924867191549</v>
      </c>
      <c r="K12" s="26">
        <v>0.1191</v>
      </c>
      <c r="L12" s="25">
        <v>710364649854</v>
      </c>
      <c r="M12" s="26">
        <v>0.15809999999999999</v>
      </c>
    </row>
    <row r="13" spans="1:13">
      <c r="A13" s="2" t="s">
        <v>13</v>
      </c>
      <c r="B13" s="25">
        <v>450123672059</v>
      </c>
      <c r="C13" s="26">
        <v>0.12396851865071661</v>
      </c>
      <c r="D13" s="25">
        <v>400582331852</v>
      </c>
      <c r="E13" s="26">
        <v>9.4899999999999998E-2</v>
      </c>
      <c r="F13" s="25">
        <v>355414675341</v>
      </c>
      <c r="G13" s="26">
        <v>9.7699999999999995E-2</v>
      </c>
      <c r="H13" s="25">
        <v>554875701254</v>
      </c>
      <c r="I13" s="26">
        <v>0.1255</v>
      </c>
      <c r="J13" s="25">
        <v>872933859618</v>
      </c>
      <c r="K13" s="26">
        <v>0.1125</v>
      </c>
      <c r="L13" s="25">
        <v>435510863476</v>
      </c>
      <c r="M13" s="26">
        <v>9.69E-2</v>
      </c>
    </row>
    <row r="14" spans="1:13">
      <c r="A14" s="2" t="s">
        <v>1</v>
      </c>
      <c r="B14" s="25"/>
      <c r="C14" s="26"/>
      <c r="D14" s="25"/>
      <c r="E14" s="26"/>
      <c r="F14" s="25"/>
      <c r="G14" s="26"/>
      <c r="H14" s="25"/>
      <c r="I14" s="26"/>
      <c r="J14" s="25"/>
      <c r="K14" s="26"/>
      <c r="L14" s="25"/>
      <c r="M14" s="27" t="s">
        <v>35</v>
      </c>
    </row>
    <row r="15" spans="1:13">
      <c r="A15" s="2" t="s">
        <v>14</v>
      </c>
      <c r="B15" s="25">
        <v>9141724057</v>
      </c>
      <c r="C15" s="26">
        <v>2.5177213721640566E-3</v>
      </c>
      <c r="D15" s="25">
        <v>17928714958</v>
      </c>
      <c r="E15" s="26">
        <v>4.1999999999999997E-3</v>
      </c>
      <c r="F15" s="25">
        <v>13687604876</v>
      </c>
      <c r="G15" s="26">
        <v>3.8E-3</v>
      </c>
      <c r="H15" s="25">
        <v>19821246376</v>
      </c>
      <c r="I15" s="26">
        <v>4.4999999999999997E-3</v>
      </c>
      <c r="J15" s="25">
        <v>43129012053</v>
      </c>
      <c r="K15" s="26">
        <v>5.5999999999999999E-3</v>
      </c>
      <c r="L15" s="25">
        <v>25337638481</v>
      </c>
      <c r="M15" s="26">
        <v>5.5999999999999999E-3</v>
      </c>
    </row>
    <row r="16" spans="1:13">
      <c r="A16" s="2" t="s">
        <v>42</v>
      </c>
      <c r="B16" s="25">
        <f t="shared" ref="B16:L16" si="0">B5+B9</f>
        <v>208234691485</v>
      </c>
      <c r="C16" s="28">
        <f t="shared" si="0"/>
        <v>5.7349897011639048E-2</v>
      </c>
      <c r="D16" s="25">
        <f t="shared" si="0"/>
        <v>197262513168</v>
      </c>
      <c r="E16" s="28">
        <f t="shared" si="0"/>
        <v>4.6699999999999998E-2</v>
      </c>
      <c r="F16" s="25">
        <f t="shared" si="0"/>
        <v>174828532506</v>
      </c>
      <c r="G16" s="28">
        <f t="shared" si="0"/>
        <v>4.8000000000000001E-2</v>
      </c>
      <c r="H16" s="25">
        <f t="shared" si="0"/>
        <v>284090646105</v>
      </c>
      <c r="I16" s="28">
        <f t="shared" si="0"/>
        <v>6.4299999999999996E-2</v>
      </c>
      <c r="J16" s="25">
        <f t="shared" si="0"/>
        <v>442057609826</v>
      </c>
      <c r="K16" s="28">
        <f t="shared" si="0"/>
        <v>5.6899999999999999E-2</v>
      </c>
      <c r="L16" s="25">
        <f t="shared" si="0"/>
        <v>198921112214</v>
      </c>
      <c r="M16" s="28">
        <f>M5+M9</f>
        <v>4.4299999999999999E-2</v>
      </c>
    </row>
    <row r="27" spans="7:7">
      <c r="G27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金控_ROE</vt:lpstr>
      <vt:lpstr>銀行_ROE</vt:lpstr>
      <vt:lpstr>銀行_存款餘額</vt:lpstr>
      <vt:lpstr>銀行_外匯存款餘額</vt:lpstr>
      <vt:lpstr>銀行_公民營事業放款</vt:lpstr>
      <vt:lpstr>銀行_中小企業放款</vt:lpstr>
      <vt:lpstr>銀行_消金貸款</vt:lpstr>
      <vt:lpstr>銀行_信託商品</vt:lpstr>
      <vt:lpstr>銀行_衍生性</vt:lpstr>
      <vt:lpstr>證券_臺股經紀</vt:lpstr>
      <vt:lpstr>證券_複委託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郭玉嬋(事業發展部,專員)</dc:creator>
  <cp:lastModifiedBy>白悅熹</cp:lastModifiedBy>
  <dcterms:created xsi:type="dcterms:W3CDTF">2025-09-04T01:57:13Z</dcterms:created>
  <dcterms:modified xsi:type="dcterms:W3CDTF">2025-09-16T01:55:14Z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17.1.7.0</vt:lpwstr>
  </property>
</Properties>
</file>