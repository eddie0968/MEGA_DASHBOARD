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nctc-my.sharepoint.com/personal/pao0918_ntpc_edu_tw/Documents/Analysis/DASHBOARD/"/>
    </mc:Choice>
  </mc:AlternateContent>
  <xr:revisionPtr revIDLastSave="10" documentId="8_{F7F7F3C4-6422-4DE0-97C5-84E3BCB2BFBD}" xr6:coauthVersionLast="47" xr6:coauthVersionMax="47" xr10:uidLastSave="{5AEF8876-7FC7-4F31-BC6B-0C1CC4741AEC}"/>
  <bookViews>
    <workbookView xWindow="-108" yWindow="-108" windowWidth="30936" windowHeight="16896" xr2:uid="{00000000-000D-0000-FFFF-FFFF00000000}"/>
  </bookViews>
  <sheets>
    <sheet name="14家金控主要比率" sheetId="1" r:id="rId1"/>
  </sheets>
  <calcPr calcId="191029"/>
</workbook>
</file>

<file path=xl/calcChain.xml><?xml version="1.0" encoding="utf-8"?>
<calcChain xmlns="http://schemas.openxmlformats.org/spreadsheetml/2006/main">
  <c r="R12" i="1" l="1"/>
  <c r="P12" i="1"/>
</calcChain>
</file>

<file path=xl/sharedStrings.xml><?xml version="1.0" encoding="utf-8"?>
<sst xmlns="http://schemas.openxmlformats.org/spreadsheetml/2006/main" count="125" uniqueCount="46">
  <si>
    <t>ROE(2025/06)</t>
    <phoneticPr fontId="1" type="noConversion"/>
  </si>
  <si>
    <t>ROE(2024/12)</t>
    <phoneticPr fontId="1" type="noConversion"/>
  </si>
  <si>
    <t>-</t>
  </si>
  <si>
    <t>-</t>
    <phoneticPr fontId="1" type="noConversion"/>
  </si>
  <si>
    <t>保費收入市占率</t>
  </si>
  <si>
    <t xml:space="preserve">市占率-銀行(2025/06) </t>
    <phoneticPr fontId="1" type="noConversion"/>
  </si>
  <si>
    <t>信用卡流通卡數市占率</t>
    <phoneticPr fontId="1" type="noConversion"/>
  </si>
  <si>
    <t>信託商品市占率</t>
    <phoneticPr fontId="1" type="noConversion"/>
  </si>
  <si>
    <t>聯貸案市占率</t>
    <phoneticPr fontId="1" type="noConversion"/>
  </si>
  <si>
    <t>公民營事業放款市占率</t>
    <phoneticPr fontId="1" type="noConversion"/>
  </si>
  <si>
    <t>中小企業放款市占率</t>
    <phoneticPr fontId="1" type="noConversion"/>
  </si>
  <si>
    <t>保證餘額市占率</t>
    <phoneticPr fontId="1" type="noConversion"/>
  </si>
  <si>
    <t>進出口信用狀市占率</t>
    <phoneticPr fontId="1" type="noConversion"/>
  </si>
  <si>
    <t>存款餘額市占率</t>
    <phoneticPr fontId="1" type="noConversion"/>
  </si>
  <si>
    <t>外匯存款餘額市占率</t>
    <phoneticPr fontId="1" type="noConversion"/>
  </si>
  <si>
    <t>市占率-證券(2025/06)</t>
    <phoneticPr fontId="1" type="noConversion"/>
  </si>
  <si>
    <t>市占率-票券(2025/06)</t>
    <phoneticPr fontId="1" type="noConversion"/>
  </si>
  <si>
    <t>市占率-產險(2025/06)</t>
    <phoneticPr fontId="1" type="noConversion"/>
  </si>
  <si>
    <t>市占率-投信(2025/06)</t>
    <phoneticPr fontId="1" type="noConversion"/>
  </si>
  <si>
    <t>臺股經紀市占率</t>
    <phoneticPr fontId="1" type="noConversion"/>
  </si>
  <si>
    <t>融資市占率</t>
    <phoneticPr fontId="1" type="noConversion"/>
  </si>
  <si>
    <t>CP2保證市占率</t>
    <phoneticPr fontId="1" type="noConversion"/>
  </si>
  <si>
    <t>CP2承銷市占率</t>
    <phoneticPr fontId="1" type="noConversion"/>
  </si>
  <si>
    <t>票券買賣市占率</t>
    <phoneticPr fontId="1" type="noConversion"/>
  </si>
  <si>
    <t>債券買賣市占率</t>
    <phoneticPr fontId="1" type="noConversion"/>
  </si>
  <si>
    <t>股權承銷IPO送件數市占率</t>
    <phoneticPr fontId="1" type="noConversion"/>
  </si>
  <si>
    <t>股權承銷SPO 送件數</t>
    <phoneticPr fontId="1" type="noConversion"/>
  </si>
  <si>
    <t>複委託市占率</t>
    <phoneticPr fontId="1" type="noConversion"/>
  </si>
  <si>
    <t>消金控貸款市占率(國內)</t>
  </si>
  <si>
    <t>信用卡消費金控額市占率</t>
  </si>
  <si>
    <t>衍生性金控融商品餘額市占率</t>
  </si>
  <si>
    <t>公募基金控市占率</t>
  </si>
  <si>
    <t>中信金控</t>
  </si>
  <si>
    <t>玉山金控</t>
  </si>
  <si>
    <t>永豐金控</t>
  </si>
  <si>
    <t>富邦金控</t>
  </si>
  <si>
    <t>國泰金控</t>
  </si>
  <si>
    <t>華南金控</t>
  </si>
  <si>
    <t>第一金控</t>
  </si>
  <si>
    <t>元大金控</t>
  </si>
  <si>
    <t>兆豐金控</t>
  </si>
  <si>
    <t>台新新光金控</t>
  </si>
  <si>
    <t>合庫金控</t>
  </si>
  <si>
    <t>凱基金控</t>
  </si>
  <si>
    <t>國票金控</t>
  </si>
  <si>
    <t>臺灣金控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</si>
</sst>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;\-#,##0.######"/>
    <numFmt numFmtId="177" formatCode="0.00_);[Red]\(0.00\)"/>
  </numFmts>
  <fonts count="1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8"/>
      <color theme="1"/>
      <name val="Microsoft JhengHei Light"/>
      <family val="2"/>
      <charset val="136"/>
    </font>
    <font>
      <sz val="18"/>
      <color rgb="FF000000"/>
      <name val="Microsoft JhengHei Light"/>
      <family val="2"/>
      <charset val="136"/>
    </font>
    <font>
      <sz val="18"/>
      <color rgb="FFFF0000"/>
      <name val="Microsoft JhengHei Light"/>
      <family val="2"/>
      <charset val="136"/>
    </font>
    <font>
      <sz val="18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sz val="11"/>
      <color rgb="FFFF0000"/>
      <name val="Microsoft JhengHei Light"/>
      <family val="2"/>
      <charset val="136"/>
    </font>
    <font>
      <sz val="11"/>
      <color rgb="FF000000"/>
      <name val="Microsoft JhengHei Light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0">
    <xf numFmtId="0" fontId="0" fillId="0" borderId="0" xfId="0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right"/>
    </xf>
    <xf numFmtId="0" fontId="6" fillId="8" borderId="1" xfId="0" applyFont="1" applyFill="1" applyBorder="1" applyAlignment="1">
      <alignment horizontal="right"/>
    </xf>
    <xf numFmtId="0" fontId="7" fillId="8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left" vertical="top" wrapText="1"/>
    </xf>
    <xf numFmtId="177" fontId="7" fillId="3" borderId="1" xfId="1" applyNumberFormat="1" applyFont="1" applyFill="1" applyBorder="1" applyAlignment="1">
      <alignment horizontal="right" vertical="center"/>
    </xf>
    <xf numFmtId="177" fontId="7" fillId="5" borderId="1" xfId="1" applyNumberFormat="1" applyFont="1" applyFill="1" applyBorder="1" applyAlignment="1">
      <alignment horizontal="right" vertical="center"/>
    </xf>
    <xf numFmtId="177" fontId="7" fillId="5" borderId="1" xfId="2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top" wrapText="1"/>
    </xf>
    <xf numFmtId="177" fontId="6" fillId="3" borderId="1" xfId="1" applyNumberFormat="1" applyFont="1" applyFill="1" applyBorder="1" applyAlignment="1">
      <alignment horizontal="right" vertical="center"/>
    </xf>
    <xf numFmtId="177" fontId="6" fillId="5" borderId="1" xfId="1" applyNumberFormat="1" applyFont="1" applyFill="1" applyBorder="1" applyAlignment="1">
      <alignment horizontal="right" vertical="center"/>
    </xf>
    <xf numFmtId="177" fontId="6" fillId="5" borderId="1" xfId="2" applyNumberFormat="1" applyFont="1" applyFill="1" applyBorder="1" applyAlignment="1">
      <alignment horizontal="right" vertical="center"/>
    </xf>
    <xf numFmtId="0" fontId="9" fillId="0" borderId="0" xfId="0" applyFont="1"/>
    <xf numFmtId="177" fontId="4" fillId="5" borderId="1" xfId="0" applyNumberFormat="1" applyFont="1" applyFill="1" applyBorder="1" applyAlignment="1">
      <alignment horizontal="right"/>
    </xf>
    <xf numFmtId="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176" fontId="10" fillId="0" borderId="0" xfId="0" applyNumberFormat="1" applyFont="1" applyAlignment="1">
      <alignment horizontal="left" vertical="top" wrapText="1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4" borderId="1" xfId="0" applyFont="1" applyFill="1" applyBorder="1"/>
    <xf numFmtId="177" fontId="7" fillId="4" borderId="1" xfId="2" applyNumberFormat="1" applyFont="1" applyFill="1" applyBorder="1" applyAlignment="1">
      <alignment horizontal="right" vertical="center"/>
    </xf>
    <xf numFmtId="177" fontId="4" fillId="6" borderId="1" xfId="0" applyNumberFormat="1" applyFont="1" applyFill="1" applyBorder="1" applyAlignment="1">
      <alignment horizontal="right"/>
    </xf>
    <xf numFmtId="177" fontId="7" fillId="7" borderId="1" xfId="2" applyNumberFormat="1" applyFont="1" applyFill="1" applyBorder="1" applyAlignment="1">
      <alignment horizontal="right" vertical="center"/>
    </xf>
    <xf numFmtId="177" fontId="6" fillId="4" borderId="1" xfId="2" applyNumberFormat="1" applyFont="1" applyFill="1" applyBorder="1" applyAlignment="1">
      <alignment horizontal="right" vertical="center"/>
    </xf>
    <xf numFmtId="177" fontId="6" fillId="6" borderId="1" xfId="2" applyNumberFormat="1" applyFont="1" applyFill="1" applyBorder="1" applyAlignment="1">
      <alignment horizontal="right" vertical="center"/>
    </xf>
    <xf numFmtId="177" fontId="6" fillId="7" borderId="1" xfId="2" applyNumberFormat="1" applyFont="1" applyFill="1" applyBorder="1" applyAlignment="1">
      <alignment horizontal="right" vertical="center"/>
    </xf>
    <xf numFmtId="177" fontId="7" fillId="6" borderId="1" xfId="2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</cellXfs>
  <cellStyles count="3">
    <cellStyle name="一般" xfId="0" builtinId="0"/>
    <cellStyle name="一般_表1之5銀行企金業務分析_1" xfId="2" xr:uid="{F27C5C6E-0501-4EAE-8017-276420899A79}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9"/>
  <sheetViews>
    <sheetView tabSelected="1" zoomScale="55" zoomScaleNormal="55" workbookViewId="0">
      <pane xSplit="1" topLeftCell="B1" activePane="topRight" state="frozen"/>
      <selection pane="topRight" activeCell="E14" sqref="E14"/>
    </sheetView>
  </sheetViews>
  <sheetFormatPr defaultColWidth="9.125" defaultRowHeight="14.4"/>
  <cols>
    <col min="1" max="1" width="36.875" style="18" customWidth="1"/>
    <col min="2" max="2" width="26.25" style="17" bestFit="1" customWidth="1"/>
    <col min="3" max="3" width="26.25" style="18" bestFit="1" customWidth="1"/>
    <col min="4" max="4" width="40.75" style="18" bestFit="1" customWidth="1"/>
    <col min="5" max="5" width="47" style="18" customWidth="1"/>
    <col min="6" max="6" width="42" style="6" bestFit="1" customWidth="1"/>
    <col min="7" max="7" width="29.75" style="6" bestFit="1" customWidth="1"/>
    <col min="8" max="8" width="25.75" style="6" bestFit="1" customWidth="1"/>
    <col min="9" max="9" width="42" style="6" bestFit="1" customWidth="1"/>
    <col min="10" max="10" width="37.875" style="6" bestFit="1" customWidth="1"/>
    <col min="11" max="11" width="37.25" style="6" customWidth="1"/>
    <col min="12" max="12" width="50.125" style="6" bestFit="1" customWidth="1"/>
    <col min="13" max="13" width="37.875" style="6" bestFit="1" customWidth="1"/>
    <col min="14" max="14" width="29.75" style="6" bestFit="1" customWidth="1"/>
    <col min="15" max="15" width="37.875" style="6" bestFit="1" customWidth="1"/>
    <col min="16" max="16" width="29.75" style="6" customWidth="1"/>
    <col min="17" max="17" width="27.375" style="6" bestFit="1" customWidth="1"/>
    <col min="18" max="18" width="21.75" style="6" bestFit="1" customWidth="1"/>
    <col min="19" max="19" width="50" style="6" customWidth="1"/>
    <col min="20" max="20" width="39.625" style="6" bestFit="1" customWidth="1"/>
    <col min="21" max="22" width="28.875" style="6" bestFit="1" customWidth="1"/>
    <col min="23" max="24" width="29.75" style="6" bestFit="1" customWidth="1"/>
    <col min="25" max="25" width="38" style="6" bestFit="1" customWidth="1"/>
    <col min="26" max="26" width="40.125" style="6" bestFit="1" customWidth="1"/>
    <col min="27" max="16384" width="9.125" style="6"/>
  </cols>
  <sheetData>
    <row r="1" spans="1:26" ht="34.5" customHeight="1">
      <c r="A1" s="33"/>
      <c r="B1" s="37" t="s">
        <v>0</v>
      </c>
      <c r="C1" s="37" t="s">
        <v>1</v>
      </c>
      <c r="D1" s="36" t="s">
        <v>5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9" t="s">
        <v>15</v>
      </c>
      <c r="Q1" s="39"/>
      <c r="R1" s="39"/>
      <c r="S1" s="39"/>
      <c r="T1" s="39"/>
      <c r="U1" s="35" t="s">
        <v>16</v>
      </c>
      <c r="V1" s="35"/>
      <c r="W1" s="35"/>
      <c r="X1" s="35"/>
      <c r="Y1" s="23" t="s">
        <v>17</v>
      </c>
      <c r="Z1" s="24" t="s">
        <v>18</v>
      </c>
    </row>
    <row r="2" spans="1:26" ht="29.25" customHeight="1">
      <c r="A2" s="34"/>
      <c r="B2" s="38"/>
      <c r="C2" s="38"/>
      <c r="D2" s="5" t="s">
        <v>28</v>
      </c>
      <c r="E2" s="5" t="s">
        <v>6</v>
      </c>
      <c r="F2" s="5" t="s">
        <v>29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30</v>
      </c>
      <c r="M2" s="5" t="s">
        <v>12</v>
      </c>
      <c r="N2" s="5" t="s">
        <v>13</v>
      </c>
      <c r="O2" s="5" t="s">
        <v>14</v>
      </c>
      <c r="P2" s="25" t="s">
        <v>19</v>
      </c>
      <c r="Q2" s="25" t="s">
        <v>27</v>
      </c>
      <c r="R2" s="21" t="s">
        <v>20</v>
      </c>
      <c r="S2" s="25" t="s">
        <v>25</v>
      </c>
      <c r="T2" s="25" t="s">
        <v>26</v>
      </c>
      <c r="U2" s="22" t="s">
        <v>21</v>
      </c>
      <c r="V2" s="22" t="s">
        <v>22</v>
      </c>
      <c r="W2" s="22" t="s">
        <v>23</v>
      </c>
      <c r="X2" s="22" t="s">
        <v>24</v>
      </c>
      <c r="Y2" s="1" t="s">
        <v>4</v>
      </c>
      <c r="Z2" s="24" t="s">
        <v>31</v>
      </c>
    </row>
    <row r="3" spans="1:26" ht="36.75" customHeight="1">
      <c r="A3" s="7" t="s">
        <v>32</v>
      </c>
      <c r="B3" s="8">
        <v>7.46</v>
      </c>
      <c r="C3" s="8">
        <v>15.04</v>
      </c>
      <c r="D3" s="9">
        <v>8.6691367629853762</v>
      </c>
      <c r="E3" s="9">
        <v>15.087877742924979</v>
      </c>
      <c r="F3" s="9">
        <v>17.268840938786809</v>
      </c>
      <c r="G3" s="9">
        <v>16.592647631137652</v>
      </c>
      <c r="H3" s="10">
        <v>3.2</v>
      </c>
      <c r="I3" s="10">
        <v>4.1911265125872976</v>
      </c>
      <c r="J3" s="10">
        <v>4.0599999999999996</v>
      </c>
      <c r="K3" s="10">
        <v>3.61</v>
      </c>
      <c r="L3" s="10">
        <v>18.639621665558266</v>
      </c>
      <c r="M3" s="10">
        <v>6.8900000000000006</v>
      </c>
      <c r="N3" s="10">
        <v>7.5824102051459157</v>
      </c>
      <c r="O3" s="10">
        <v>9.18</v>
      </c>
      <c r="P3" s="26">
        <v>1.1656</v>
      </c>
      <c r="Q3" s="26">
        <v>3.18</v>
      </c>
      <c r="R3" s="26">
        <v>1.95</v>
      </c>
      <c r="S3" s="26">
        <v>3.03</v>
      </c>
      <c r="T3" s="26">
        <v>1.56</v>
      </c>
      <c r="U3" s="27" t="s">
        <v>3</v>
      </c>
      <c r="V3" s="27" t="s">
        <v>3</v>
      </c>
      <c r="W3" s="27" t="s">
        <v>3</v>
      </c>
      <c r="X3" s="27" t="s">
        <v>3</v>
      </c>
      <c r="Y3" s="2">
        <v>1.2</v>
      </c>
      <c r="Z3" s="28">
        <v>5.69</v>
      </c>
    </row>
    <row r="4" spans="1:26" ht="36.75" customHeight="1">
      <c r="A4" s="7" t="s">
        <v>33</v>
      </c>
      <c r="B4" s="8">
        <v>6.68</v>
      </c>
      <c r="C4" s="8">
        <v>10.68</v>
      </c>
      <c r="D4" s="9">
        <v>5.1249239658842027</v>
      </c>
      <c r="E4" s="9">
        <v>14.538346936169491</v>
      </c>
      <c r="F4" s="9">
        <v>12.28795439595749</v>
      </c>
      <c r="G4" s="9">
        <v>8.293929265029643</v>
      </c>
      <c r="H4" s="10">
        <v>7</v>
      </c>
      <c r="I4" s="10">
        <v>4.7555579997400912</v>
      </c>
      <c r="J4" s="10">
        <v>5.91</v>
      </c>
      <c r="K4" s="10">
        <v>1</v>
      </c>
      <c r="L4" s="10">
        <v>5.5596250496638921</v>
      </c>
      <c r="M4" s="10">
        <v>2.69</v>
      </c>
      <c r="N4" s="10">
        <v>5.6395220443757079</v>
      </c>
      <c r="O4" s="10">
        <v>7.03</v>
      </c>
      <c r="P4" s="26">
        <v>1.7304999999999999</v>
      </c>
      <c r="Q4" s="26">
        <v>2.96</v>
      </c>
      <c r="R4" s="26">
        <v>2.9</v>
      </c>
      <c r="S4" s="26" t="s">
        <v>3</v>
      </c>
      <c r="T4" s="26" t="s">
        <v>3</v>
      </c>
      <c r="U4" s="27" t="s">
        <v>3</v>
      </c>
      <c r="V4" s="27" t="s">
        <v>3</v>
      </c>
      <c r="W4" s="27" t="s">
        <v>3</v>
      </c>
      <c r="X4" s="27" t="s">
        <v>3</v>
      </c>
      <c r="Y4" s="2" t="s">
        <v>2</v>
      </c>
      <c r="Z4" s="28" t="s">
        <v>3</v>
      </c>
    </row>
    <row r="5" spans="1:26" ht="36.75" customHeight="1">
      <c r="A5" s="7" t="s">
        <v>34</v>
      </c>
      <c r="B5" s="8">
        <v>6.18</v>
      </c>
      <c r="C5" s="8">
        <v>11.29</v>
      </c>
      <c r="D5" s="9">
        <v>3.1104680599901591</v>
      </c>
      <c r="E5" s="9">
        <v>4.0053947556220635</v>
      </c>
      <c r="F5" s="9">
        <v>3.7581065170076573</v>
      </c>
      <c r="G5" s="9">
        <v>5.6795006339644836</v>
      </c>
      <c r="H5" s="10">
        <v>1.6</v>
      </c>
      <c r="I5" s="10">
        <v>3.0612827508565252</v>
      </c>
      <c r="J5" s="10">
        <v>3.92</v>
      </c>
      <c r="K5" s="10">
        <v>2.34</v>
      </c>
      <c r="L5" s="10">
        <v>5.7715600191480405</v>
      </c>
      <c r="M5" s="10">
        <v>2.92</v>
      </c>
      <c r="N5" s="10">
        <v>3.6725433582524598</v>
      </c>
      <c r="O5" s="10">
        <v>4.4000000000000004</v>
      </c>
      <c r="P5" s="26">
        <v>4.8064</v>
      </c>
      <c r="Q5" s="26">
        <v>17.309999999999999</v>
      </c>
      <c r="R5" s="26">
        <v>7.14</v>
      </c>
      <c r="S5" s="26">
        <v>12.12</v>
      </c>
      <c r="T5" s="26">
        <v>10.94</v>
      </c>
      <c r="U5" s="27" t="s">
        <v>3</v>
      </c>
      <c r="V5" s="27" t="s">
        <v>3</v>
      </c>
      <c r="W5" s="27" t="s">
        <v>3</v>
      </c>
      <c r="X5" s="27" t="s">
        <v>3</v>
      </c>
      <c r="Y5" s="2" t="s">
        <v>2</v>
      </c>
      <c r="Z5" s="28">
        <v>0.97</v>
      </c>
    </row>
    <row r="6" spans="1:26" ht="36.75" customHeight="1">
      <c r="A6" s="7" t="s">
        <v>35</v>
      </c>
      <c r="B6" s="8">
        <v>5.7</v>
      </c>
      <c r="C6" s="8">
        <v>16.93</v>
      </c>
      <c r="D6" s="9">
        <v>5.8301459079615423</v>
      </c>
      <c r="E6" s="9">
        <v>12.386992288445882</v>
      </c>
      <c r="F6" s="9">
        <v>13.085848793983237</v>
      </c>
      <c r="G6" s="9">
        <v>6.2860132121363073</v>
      </c>
      <c r="H6" s="10">
        <v>5.3</v>
      </c>
      <c r="I6" s="10">
        <v>3.5943465544645852</v>
      </c>
      <c r="J6" s="10">
        <v>3.92</v>
      </c>
      <c r="K6" s="10">
        <v>1.49</v>
      </c>
      <c r="L6" s="10">
        <v>8.4333304418506767</v>
      </c>
      <c r="M6" s="10">
        <v>2.2200000000000002</v>
      </c>
      <c r="N6" s="10">
        <v>5.8395775683766979</v>
      </c>
      <c r="O6" s="10">
        <v>8.0399999999999991</v>
      </c>
      <c r="P6" s="26">
        <v>6.7018000000000004</v>
      </c>
      <c r="Q6" s="26">
        <v>12.74</v>
      </c>
      <c r="R6" s="26">
        <v>9.84</v>
      </c>
      <c r="S6" s="26">
        <v>12.12</v>
      </c>
      <c r="T6" s="26">
        <v>9.3800000000000008</v>
      </c>
      <c r="U6" s="27" t="s">
        <v>3</v>
      </c>
      <c r="V6" s="27" t="s">
        <v>3</v>
      </c>
      <c r="W6" s="27" t="s">
        <v>3</v>
      </c>
      <c r="X6" s="27" t="s">
        <v>3</v>
      </c>
      <c r="Y6" s="2">
        <v>24.43</v>
      </c>
      <c r="Z6" s="28">
        <v>8.8800000000000008</v>
      </c>
    </row>
    <row r="7" spans="1:26" ht="36.75" customHeight="1">
      <c r="A7" s="7" t="s">
        <v>36</v>
      </c>
      <c r="B7" s="8">
        <v>5.44</v>
      </c>
      <c r="C7" s="8">
        <v>12.91</v>
      </c>
      <c r="D7" s="9">
        <v>5.4007772350690413</v>
      </c>
      <c r="E7" s="9">
        <v>12.156490004761208</v>
      </c>
      <c r="F7" s="9">
        <v>17.193238828955014</v>
      </c>
      <c r="G7" s="9">
        <v>5.0995357620997481</v>
      </c>
      <c r="H7" s="10">
        <v>2.1</v>
      </c>
      <c r="I7" s="10">
        <v>3.044860399505076</v>
      </c>
      <c r="J7" s="10">
        <v>3.27</v>
      </c>
      <c r="K7" s="10">
        <v>1.03</v>
      </c>
      <c r="L7" s="10">
        <v>11.067364049446496</v>
      </c>
      <c r="M7" s="10">
        <v>2.1999999999999997</v>
      </c>
      <c r="N7" s="10">
        <v>6.6168305171817643</v>
      </c>
      <c r="O7" s="10">
        <v>5.19</v>
      </c>
      <c r="P7" s="26">
        <v>4.3083</v>
      </c>
      <c r="Q7" s="26">
        <v>20.98</v>
      </c>
      <c r="R7" s="26">
        <v>4.07</v>
      </c>
      <c r="S7" s="26">
        <v>3.03</v>
      </c>
      <c r="T7" s="26">
        <v>3.13</v>
      </c>
      <c r="U7" s="27" t="s">
        <v>3</v>
      </c>
      <c r="V7" s="27" t="s">
        <v>3</v>
      </c>
      <c r="W7" s="27" t="s">
        <v>3</v>
      </c>
      <c r="X7" s="27" t="s">
        <v>3</v>
      </c>
      <c r="Y7" s="2">
        <v>13.5</v>
      </c>
      <c r="Z7" s="28">
        <v>13.71</v>
      </c>
    </row>
    <row r="8" spans="1:26" ht="36.75" customHeight="1">
      <c r="A8" s="7" t="s">
        <v>37</v>
      </c>
      <c r="B8" s="8">
        <v>5.37</v>
      </c>
      <c r="C8" s="8">
        <v>10.81</v>
      </c>
      <c r="D8" s="9">
        <v>5.2402370966948197</v>
      </c>
      <c r="E8" s="9">
        <v>1.743799885266653</v>
      </c>
      <c r="F8" s="9">
        <v>1.3458326401848912</v>
      </c>
      <c r="G8" s="9">
        <v>8.6042535523590953</v>
      </c>
      <c r="H8" s="10">
        <v>5</v>
      </c>
      <c r="I8" s="10">
        <v>6.721768238296784</v>
      </c>
      <c r="J8" s="10">
        <v>7.27</v>
      </c>
      <c r="K8" s="10">
        <v>5.54</v>
      </c>
      <c r="L8" s="10">
        <v>1.2298975022944449</v>
      </c>
      <c r="M8" s="10">
        <v>7.4399999999999995</v>
      </c>
      <c r="N8" s="10">
        <v>5.5023068908322088</v>
      </c>
      <c r="O8" s="10">
        <v>4.18</v>
      </c>
      <c r="P8" s="26">
        <v>2.6107999999999998</v>
      </c>
      <c r="Q8" s="26">
        <v>1.6</v>
      </c>
      <c r="R8" s="26">
        <v>5.2389999999999999</v>
      </c>
      <c r="S8" s="26">
        <v>3.03</v>
      </c>
      <c r="T8" s="26" t="s">
        <v>3</v>
      </c>
      <c r="U8" s="27" t="s">
        <v>3</v>
      </c>
      <c r="V8" s="27" t="s">
        <v>3</v>
      </c>
      <c r="W8" s="27" t="s">
        <v>3</v>
      </c>
      <c r="X8" s="27" t="s">
        <v>3</v>
      </c>
      <c r="Y8" s="2">
        <v>5.45</v>
      </c>
      <c r="Z8" s="28">
        <v>0.54</v>
      </c>
    </row>
    <row r="9" spans="1:26" ht="36.75" customHeight="1">
      <c r="A9" s="7" t="s">
        <v>38</v>
      </c>
      <c r="B9" s="8">
        <v>5.26</v>
      </c>
      <c r="C9" s="8">
        <v>9.82</v>
      </c>
      <c r="D9" s="9">
        <v>5.427739932499593</v>
      </c>
      <c r="E9" s="9">
        <v>2.508800218075204</v>
      </c>
      <c r="F9" s="9">
        <v>1.7046770807038492</v>
      </c>
      <c r="G9" s="9">
        <v>7.270055201881112</v>
      </c>
      <c r="H9" s="10">
        <v>8.1999999999999993</v>
      </c>
      <c r="I9" s="10">
        <v>7.3531851713815097</v>
      </c>
      <c r="J9" s="10">
        <v>9.1199999999999992</v>
      </c>
      <c r="K9" s="10">
        <v>5.96</v>
      </c>
      <c r="L9" s="10">
        <v>2.4221521840867788</v>
      </c>
      <c r="M9" s="10">
        <v>7.82</v>
      </c>
      <c r="N9" s="10">
        <v>6.3095695803432479</v>
      </c>
      <c r="O9" s="10">
        <v>6.55</v>
      </c>
      <c r="P9" s="26">
        <v>1.2082999999999999</v>
      </c>
      <c r="Q9" s="26">
        <v>1.5</v>
      </c>
      <c r="R9" s="26">
        <v>2.23</v>
      </c>
      <c r="S9" s="26" t="s">
        <v>3</v>
      </c>
      <c r="T9" s="26">
        <v>3.13</v>
      </c>
      <c r="U9" s="27" t="s">
        <v>3</v>
      </c>
      <c r="V9" s="27" t="s">
        <v>3</v>
      </c>
      <c r="W9" s="27" t="s">
        <v>3</v>
      </c>
      <c r="X9" s="27" t="s">
        <v>3</v>
      </c>
      <c r="Y9" s="2">
        <v>3.14</v>
      </c>
      <c r="Z9" s="28">
        <v>1.41</v>
      </c>
    </row>
    <row r="10" spans="1:26" ht="36.75" customHeight="1">
      <c r="A10" s="7" t="s">
        <v>39</v>
      </c>
      <c r="B10" s="8">
        <v>5.26</v>
      </c>
      <c r="C10" s="8">
        <v>11.89</v>
      </c>
      <c r="D10" s="9">
        <v>3.2656571163287613</v>
      </c>
      <c r="E10" s="9">
        <v>2.0294222802672257</v>
      </c>
      <c r="F10" s="9">
        <v>1.2603154995554813</v>
      </c>
      <c r="G10" s="9">
        <v>1.6886496569642073</v>
      </c>
      <c r="H10" s="10">
        <v>3.7</v>
      </c>
      <c r="I10" s="10">
        <v>2.8685288317058686</v>
      </c>
      <c r="J10" s="10">
        <v>2.2400000000000002</v>
      </c>
      <c r="K10" s="10">
        <v>0.94</v>
      </c>
      <c r="L10" s="10">
        <v>0.67221617152703483</v>
      </c>
      <c r="M10" s="10">
        <v>0.54</v>
      </c>
      <c r="N10" s="10">
        <v>3.2166873562320522</v>
      </c>
      <c r="O10" s="10">
        <v>1.44</v>
      </c>
      <c r="P10" s="26">
        <v>13.084199999999999</v>
      </c>
      <c r="Q10" s="26">
        <v>15.81</v>
      </c>
      <c r="R10" s="26">
        <v>16.77</v>
      </c>
      <c r="S10" s="26">
        <v>9.09</v>
      </c>
      <c r="T10" s="26">
        <v>4.6900000000000004</v>
      </c>
      <c r="U10" s="27" t="s">
        <v>3</v>
      </c>
      <c r="V10" s="27" t="s">
        <v>3</v>
      </c>
      <c r="W10" s="27" t="s">
        <v>3</v>
      </c>
      <c r="X10" s="27" t="s">
        <v>3</v>
      </c>
      <c r="Y10" s="2" t="s">
        <v>2</v>
      </c>
      <c r="Z10" s="28">
        <v>24.68</v>
      </c>
    </row>
    <row r="11" spans="1:26" s="15" customFormat="1" ht="36.75" customHeight="1">
      <c r="A11" s="11" t="s">
        <v>40</v>
      </c>
      <c r="B11" s="12">
        <v>5.01</v>
      </c>
      <c r="C11" s="12">
        <v>9.94</v>
      </c>
      <c r="D11" s="13">
        <v>3.4156947005785541</v>
      </c>
      <c r="E11" s="13">
        <v>1.9008086871967926</v>
      </c>
      <c r="F11" s="13">
        <v>1.1733819259549838</v>
      </c>
      <c r="G11" s="13">
        <v>4.6594168473005899</v>
      </c>
      <c r="H11" s="14">
        <v>9.6999999999999993</v>
      </c>
      <c r="I11" s="14">
        <v>6.417840896897407</v>
      </c>
      <c r="J11" s="14">
        <v>6.67</v>
      </c>
      <c r="K11" s="14">
        <v>7.73</v>
      </c>
      <c r="L11" s="14">
        <v>1.8529584686707856</v>
      </c>
      <c r="M11" s="14">
        <v>24.33</v>
      </c>
      <c r="N11" s="14">
        <v>4.882600096830588</v>
      </c>
      <c r="O11" s="14">
        <v>7.1</v>
      </c>
      <c r="P11" s="29">
        <v>2.3563000000000001</v>
      </c>
      <c r="Q11" s="29">
        <v>2.21</v>
      </c>
      <c r="R11" s="29">
        <v>5.24275</v>
      </c>
      <c r="S11" s="29">
        <v>3.03</v>
      </c>
      <c r="T11" s="29">
        <v>1.56</v>
      </c>
      <c r="U11" s="30">
        <v>30.7</v>
      </c>
      <c r="V11" s="30">
        <v>31.25</v>
      </c>
      <c r="W11" s="30">
        <v>28.4</v>
      </c>
      <c r="X11" s="30">
        <v>25.28</v>
      </c>
      <c r="Y11" s="3">
        <v>3.62</v>
      </c>
      <c r="Z11" s="31">
        <v>1.06</v>
      </c>
    </row>
    <row r="12" spans="1:26" ht="36.75" customHeight="1">
      <c r="A12" s="7" t="s">
        <v>41</v>
      </c>
      <c r="B12" s="8">
        <v>4.63</v>
      </c>
      <c r="C12" s="8">
        <v>9.01</v>
      </c>
      <c r="D12" s="9">
        <v>7.11</v>
      </c>
      <c r="E12" s="9">
        <v>12.86</v>
      </c>
      <c r="F12" s="9">
        <v>11.91</v>
      </c>
      <c r="G12" s="9">
        <v>6.87</v>
      </c>
      <c r="H12" s="9">
        <v>3.3</v>
      </c>
      <c r="I12" s="9">
        <v>4.58</v>
      </c>
      <c r="J12" s="9">
        <v>5.12</v>
      </c>
      <c r="K12" s="10">
        <v>3.11</v>
      </c>
      <c r="L12" s="9">
        <v>6.85</v>
      </c>
      <c r="M12" s="10">
        <v>3.26</v>
      </c>
      <c r="N12" s="10">
        <v>5.94</v>
      </c>
      <c r="O12" s="10">
        <v>5.85</v>
      </c>
      <c r="P12" s="26">
        <f>2.1997+1.8075</f>
        <v>4.0072000000000001</v>
      </c>
      <c r="Q12" s="26">
        <v>2.12</v>
      </c>
      <c r="R12" s="26">
        <f>3.89+3.37</f>
        <v>7.26</v>
      </c>
      <c r="S12" s="26">
        <v>9.09</v>
      </c>
      <c r="T12" s="26">
        <v>20.309999999999999</v>
      </c>
      <c r="U12" s="27" t="s">
        <v>3</v>
      </c>
      <c r="V12" s="27" t="s">
        <v>3</v>
      </c>
      <c r="W12" s="27" t="s">
        <v>3</v>
      </c>
      <c r="X12" s="27" t="s">
        <v>3</v>
      </c>
      <c r="Y12" s="4">
        <v>9.48</v>
      </c>
      <c r="Z12" s="28">
        <v>2.9</v>
      </c>
    </row>
    <row r="13" spans="1:26" ht="36.75" customHeight="1">
      <c r="A13" s="7" t="s">
        <v>42</v>
      </c>
      <c r="B13" s="8">
        <v>3.87</v>
      </c>
      <c r="C13" s="8">
        <v>7.84</v>
      </c>
      <c r="D13" s="9">
        <v>7.0931317825636571</v>
      </c>
      <c r="E13" s="9">
        <v>1.1408192735987779</v>
      </c>
      <c r="F13" s="9">
        <v>1.0745857262216283</v>
      </c>
      <c r="G13" s="9">
        <v>3.3780668317741243</v>
      </c>
      <c r="H13" s="10">
        <v>7.3</v>
      </c>
      <c r="I13" s="10">
        <v>7.8321130119316296</v>
      </c>
      <c r="J13" s="10">
        <v>7.87</v>
      </c>
      <c r="K13" s="10">
        <v>4.71</v>
      </c>
      <c r="L13" s="10">
        <v>0.55687814114076484</v>
      </c>
      <c r="M13" s="10">
        <v>8.4</v>
      </c>
      <c r="N13" s="10">
        <v>7.1853625961309735</v>
      </c>
      <c r="O13" s="10">
        <v>4.32</v>
      </c>
      <c r="P13" s="26">
        <v>0.77049999999999996</v>
      </c>
      <c r="Q13" s="26">
        <v>0.56000000000000005</v>
      </c>
      <c r="R13" s="26">
        <v>1.97</v>
      </c>
      <c r="S13" s="26" t="s">
        <v>3</v>
      </c>
      <c r="T13" s="26">
        <v>1.56</v>
      </c>
      <c r="U13" s="27" t="s">
        <v>3</v>
      </c>
      <c r="V13" s="27" t="s">
        <v>3</v>
      </c>
      <c r="W13" s="27" t="s">
        <v>3</v>
      </c>
      <c r="X13" s="27" t="s">
        <v>3</v>
      </c>
      <c r="Y13" s="2" t="s">
        <v>2</v>
      </c>
      <c r="Z13" s="28">
        <v>0.52</v>
      </c>
    </row>
    <row r="14" spans="1:26" ht="36.75" customHeight="1">
      <c r="A14" s="7" t="s">
        <v>43</v>
      </c>
      <c r="B14" s="8">
        <v>1.91</v>
      </c>
      <c r="C14" s="8">
        <v>11.77</v>
      </c>
      <c r="D14" s="9">
        <v>1.1100309142066469</v>
      </c>
      <c r="E14" s="9">
        <v>0.64974919096621464</v>
      </c>
      <c r="F14" s="9">
        <v>0.38876658703318201</v>
      </c>
      <c r="G14" s="9" t="s">
        <v>3</v>
      </c>
      <c r="H14" s="10" t="s">
        <v>2</v>
      </c>
      <c r="I14" s="10">
        <v>1.1499732560286027</v>
      </c>
      <c r="J14" s="10">
        <v>0.73</v>
      </c>
      <c r="K14" s="10">
        <v>0.67</v>
      </c>
      <c r="L14" s="10">
        <v>3.3315770253497359</v>
      </c>
      <c r="M14" s="10">
        <v>0.09</v>
      </c>
      <c r="N14" s="10">
        <v>1.1059646037567099</v>
      </c>
      <c r="O14" s="10">
        <v>1.1399999999999999</v>
      </c>
      <c r="P14" s="26">
        <v>10.7233</v>
      </c>
      <c r="Q14" s="26">
        <v>9.69</v>
      </c>
      <c r="R14" s="26">
        <v>8.23</v>
      </c>
      <c r="S14" s="26">
        <v>9.09</v>
      </c>
      <c r="T14" s="26">
        <v>15.63</v>
      </c>
      <c r="U14" s="27" t="s">
        <v>3</v>
      </c>
      <c r="V14" s="27" t="s">
        <v>3</v>
      </c>
      <c r="W14" s="27" t="s">
        <v>3</v>
      </c>
      <c r="X14" s="27" t="s">
        <v>3</v>
      </c>
      <c r="Y14" s="2" t="s">
        <v>2</v>
      </c>
      <c r="Z14" s="28">
        <v>2.86</v>
      </c>
    </row>
    <row r="15" spans="1:26" ht="36.75" customHeight="1">
      <c r="A15" s="7" t="s">
        <v>44</v>
      </c>
      <c r="B15" s="8">
        <v>1.4</v>
      </c>
      <c r="C15" s="8">
        <v>5.7</v>
      </c>
      <c r="D15" s="16" t="s">
        <v>3</v>
      </c>
      <c r="E15" s="16" t="s">
        <v>3</v>
      </c>
      <c r="F15" s="16" t="s">
        <v>3</v>
      </c>
      <c r="G15" s="16" t="s">
        <v>3</v>
      </c>
      <c r="H15" s="16" t="s">
        <v>3</v>
      </c>
      <c r="I15" s="16" t="s">
        <v>3</v>
      </c>
      <c r="J15" s="16" t="s">
        <v>3</v>
      </c>
      <c r="K15" s="16" t="s">
        <v>3</v>
      </c>
      <c r="L15" s="16" t="s">
        <v>3</v>
      </c>
      <c r="M15" s="16" t="s">
        <v>3</v>
      </c>
      <c r="N15" s="16" t="s">
        <v>3</v>
      </c>
      <c r="O15" s="16" t="s">
        <v>3</v>
      </c>
      <c r="P15" s="26">
        <v>1.4951000000000001</v>
      </c>
      <c r="Q15" s="26">
        <v>0.61</v>
      </c>
      <c r="R15" s="26">
        <v>4.79</v>
      </c>
      <c r="S15" s="26" t="s">
        <v>3</v>
      </c>
      <c r="T15" s="26">
        <v>3.13</v>
      </c>
      <c r="U15" s="32">
        <v>21.7</v>
      </c>
      <c r="V15" s="32">
        <v>16.23</v>
      </c>
      <c r="W15" s="32">
        <v>19.77</v>
      </c>
      <c r="X15" s="32">
        <v>20.6</v>
      </c>
      <c r="Y15" s="2" t="s">
        <v>2</v>
      </c>
      <c r="Z15" s="28" t="s">
        <v>3</v>
      </c>
    </row>
    <row r="16" spans="1:26" ht="36.75" customHeight="1">
      <c r="A16" s="7" t="s">
        <v>45</v>
      </c>
      <c r="B16" s="8">
        <v>0.73</v>
      </c>
      <c r="C16" s="8">
        <v>6.6</v>
      </c>
      <c r="D16" s="9">
        <v>9.901689798004714</v>
      </c>
      <c r="E16" s="9">
        <v>0.44597180973773604</v>
      </c>
      <c r="F16" s="9">
        <v>0.25593173246337908</v>
      </c>
      <c r="G16" s="9">
        <v>4.2214532908352744</v>
      </c>
      <c r="H16" s="10">
        <v>8.6</v>
      </c>
      <c r="I16" s="10">
        <v>7.2691235158146723</v>
      </c>
      <c r="J16" s="10">
        <v>4.01</v>
      </c>
      <c r="K16" s="10">
        <v>4.45</v>
      </c>
      <c r="L16" s="10">
        <v>1.8162259297455388</v>
      </c>
      <c r="M16" s="10">
        <v>7.9</v>
      </c>
      <c r="N16" s="10">
        <v>8.7695625872629481</v>
      </c>
      <c r="O16" s="10">
        <v>6.92</v>
      </c>
      <c r="P16" s="26">
        <v>0.70309999999999995</v>
      </c>
      <c r="Q16" s="26" t="s">
        <v>3</v>
      </c>
      <c r="R16" s="26">
        <v>1.04</v>
      </c>
      <c r="S16" s="26" t="s">
        <v>3</v>
      </c>
      <c r="T16" s="26" t="s">
        <v>3</v>
      </c>
      <c r="U16" s="27" t="s">
        <v>3</v>
      </c>
      <c r="V16" s="27" t="s">
        <v>3</v>
      </c>
      <c r="W16" s="27" t="s">
        <v>3</v>
      </c>
      <c r="X16" s="27" t="s">
        <v>3</v>
      </c>
      <c r="Y16" s="2" t="s">
        <v>2</v>
      </c>
      <c r="Z16" s="28" t="s">
        <v>3</v>
      </c>
    </row>
    <row r="18" spans="1:2">
      <c r="A18" s="19"/>
    </row>
    <row r="19" spans="1:2">
      <c r="A19" s="19"/>
      <c r="B19" s="20"/>
    </row>
  </sheetData>
  <mergeCells count="6">
    <mergeCell ref="A1:A2"/>
    <mergeCell ref="U1:X1"/>
    <mergeCell ref="D1:O1"/>
    <mergeCell ref="B1:B2"/>
    <mergeCell ref="C1:C2"/>
    <mergeCell ref="P1:T1"/>
  </mergeCells>
  <phoneticPr fontId="1" type="noConversion"/>
  <pageMargins left="0.25" right="0.25" top="0.75" bottom="0.75" header="0.3" footer="0.3"/>
  <pageSetup paperSize="8" scale="41" fitToHeight="0" orientation="landscape" r:id="rId1"/>
  <ignoredErrors>
    <ignoredError sqref="B3:B8 B9: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14家金控主要比率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陳怡舜(事業發展部,專員)</dc:creator>
  <cp:lastModifiedBy>白悅熹</cp:lastModifiedBy>
  <cp:lastPrinted>2025-09-03T07:36:56Z</cp:lastPrinted>
  <dcterms:created xsi:type="dcterms:W3CDTF">2025-09-02T03:48:46Z</dcterms:created>
  <dcterms:modified xsi:type="dcterms:W3CDTF">2025-09-10T12:51:58Z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